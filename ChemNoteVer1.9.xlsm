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lotz\Desktop\ChemNoteVer1.9_macro_out\"/>
    </mc:Choice>
  </mc:AlternateContent>
  <xr:revisionPtr revIDLastSave="0" documentId="13_ncr:1_{BC4FD6F8-9CFE-4568-866B-FA81ED3D1D6C}" xr6:coauthVersionLast="47" xr6:coauthVersionMax="47" xr10:uidLastSave="{00000000-0000-0000-0000-000000000000}"/>
  <bookViews>
    <workbookView xWindow="4590" yWindow="4590" windowWidth="19740" windowHeight="14535" xr2:uid="{00000000-000D-0000-FFFF-FFFF00000000}"/>
  </bookViews>
  <sheets>
    <sheet name="@C50236001" sheetId="6" r:id="rId1"/>
    <sheet name="設定" sheetId="5" state="hidden" r:id="rId2"/>
  </sheets>
  <definedNames>
    <definedName name="_xlnm.Print_Area" localSheetId="0">'@C50236001'!$A$1:$M$61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2" i="6" l="1"/>
  <c r="AE2" i="6"/>
</calcChain>
</file>

<file path=xl/sharedStrings.xml><?xml version="1.0" encoding="utf-8"?>
<sst xmlns="http://schemas.openxmlformats.org/spreadsheetml/2006/main" count="57" uniqueCount="55">
  <si>
    <t>終了日</t>
    <rPh sb="0" eb="2">
      <t>シュウリョウ</t>
    </rPh>
    <rPh sb="2" eb="3">
      <t>ビ</t>
    </rPh>
    <phoneticPr fontId="1"/>
  </si>
  <si>
    <t>溶液</t>
    <rPh sb="0" eb="2">
      <t>ヨウエキ</t>
    </rPh>
    <phoneticPr fontId="1"/>
  </si>
  <si>
    <t>mmol計算</t>
    <rPh sb="4" eb="6">
      <t>ケイサン</t>
    </rPh>
    <phoneticPr fontId="1"/>
  </si>
  <si>
    <t>←AddInファイル名</t>
    <rPh sb="10" eb="11">
      <t>メイ</t>
    </rPh>
    <phoneticPr fontId="1"/>
  </si>
  <si>
    <t>←ToolBar確認</t>
    <rPh sb="8" eb="10">
      <t>カクニン</t>
    </rPh>
    <phoneticPr fontId="1"/>
  </si>
  <si>
    <t>設定01</t>
    <phoneticPr fontId="1"/>
  </si>
  <si>
    <t>←ChemNoteのバージョン</t>
    <phoneticPr fontId="1"/>
  </si>
  <si>
    <t>1.86b</t>
    <phoneticPr fontId="1"/>
  </si>
  <si>
    <t>Note</t>
    <phoneticPr fontId="1"/>
  </si>
  <si>
    <t>RX</t>
    <phoneticPr fontId="1"/>
  </si>
  <si>
    <t>Compound Name</t>
    <phoneticPr fontId="1"/>
  </si>
  <si>
    <t>methyl 4-{3-[(4R,6S)-8-chloro-6-(2,3-dimethoxyphenyl)-4H,6H-pyrrolo[1,2-a][4,1]benzoxazepin-4-yl]propanoyl}-2-morpholinecarboxylate</t>
    <phoneticPr fontId="1"/>
  </si>
  <si>
    <t>No.</t>
    <phoneticPr fontId="1"/>
  </si>
  <si>
    <t>reagent</t>
    <phoneticPr fontId="1"/>
  </si>
  <si>
    <t>Lot</t>
    <phoneticPr fontId="1"/>
  </si>
  <si>
    <t>MW</t>
    <phoneticPr fontId="1"/>
  </si>
  <si>
    <t>Conc</t>
    <phoneticPr fontId="1"/>
  </si>
  <si>
    <t>purity(%)</t>
    <phoneticPr fontId="1"/>
  </si>
  <si>
    <t>ｄ</t>
    <phoneticPr fontId="1"/>
  </si>
  <si>
    <t xml:space="preserve">eq.  </t>
    <phoneticPr fontId="1"/>
  </si>
  <si>
    <t>mg</t>
    <phoneticPr fontId="1"/>
  </si>
  <si>
    <t>μｌ(ml)</t>
    <phoneticPr fontId="1"/>
  </si>
  <si>
    <t>mmol</t>
    <phoneticPr fontId="1"/>
  </si>
  <si>
    <t>substrate</t>
    <phoneticPr fontId="1"/>
  </si>
  <si>
    <t>CI472902</t>
    <phoneticPr fontId="1"/>
  </si>
  <si>
    <t>CI580201</t>
    <phoneticPr fontId="1"/>
  </si>
  <si>
    <t>ul</t>
    <phoneticPr fontId="1"/>
  </si>
  <si>
    <t>WSCI HCl</t>
    <phoneticPr fontId="1"/>
  </si>
  <si>
    <t>watanabe</t>
    <phoneticPr fontId="1"/>
  </si>
  <si>
    <t>Lot</t>
    <phoneticPr fontId="1"/>
  </si>
  <si>
    <t>MW</t>
    <phoneticPr fontId="1"/>
  </si>
  <si>
    <t>収量(mg)</t>
    <phoneticPr fontId="1"/>
  </si>
  <si>
    <t>理論量</t>
    <phoneticPr fontId="1"/>
  </si>
  <si>
    <t>Yield (%)</t>
    <phoneticPr fontId="1"/>
  </si>
  <si>
    <t>color</t>
    <phoneticPr fontId="1"/>
  </si>
  <si>
    <t>form</t>
    <phoneticPr fontId="1"/>
  </si>
  <si>
    <t>NMR</t>
    <phoneticPr fontId="1"/>
  </si>
  <si>
    <t>Mass</t>
    <phoneticPr fontId="1"/>
  </si>
  <si>
    <t>Anal.</t>
    <phoneticPr fontId="1"/>
  </si>
  <si>
    <t>mp</t>
    <phoneticPr fontId="1"/>
  </si>
  <si>
    <t>IR</t>
    <phoneticPr fontId="1"/>
  </si>
  <si>
    <t>comment</t>
    <phoneticPr fontId="1"/>
  </si>
  <si>
    <t>Procedure</t>
    <phoneticPr fontId="1"/>
  </si>
  <si>
    <t>y/m/d</t>
    <phoneticPr fontId="1"/>
  </si>
  <si>
    <t>Time</t>
    <phoneticPr fontId="1"/>
  </si>
  <si>
    <t>reagent</t>
    <phoneticPr fontId="1"/>
  </si>
  <si>
    <t>Handling</t>
    <phoneticPr fontId="1"/>
  </si>
  <si>
    <t>Remarks</t>
    <phoneticPr fontId="1"/>
  </si>
  <si>
    <t>OK</t>
    <phoneticPr fontId="1"/>
  </si>
  <si>
    <t>amine.HCl</t>
    <phoneticPr fontId="1"/>
  </si>
  <si>
    <t>C50236001</t>
    <phoneticPr fontId="1"/>
  </si>
  <si>
    <t>C502360011</t>
    <phoneticPr fontId="1"/>
  </si>
  <si>
    <t>C502360011</t>
    <phoneticPr fontId="1"/>
  </si>
  <si>
    <t>ChemNoteAddIn.xla</t>
    <phoneticPr fontId="1"/>
  </si>
  <si>
    <t>ChemNoteVer1.9.xlsm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</si>
</sst>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0.000"/>
    <numFmt numFmtId="177" formatCode="0.0"/>
    <numFmt numFmtId="178" formatCode="0.00_);[Red]\(0.00\)"/>
    <numFmt numFmtId="179" formatCode="0.0_ "/>
    <numFmt numFmtId="180" formatCode="0.00_ "/>
    <numFmt numFmtId="181" formatCode="0.000_);[Red]\(0.000\)"/>
    <numFmt numFmtId="182" formatCode="0_ "/>
    <numFmt numFmtId="183" formatCode="yyyy/m/d\(aaa\)"/>
  </numFmts>
  <fonts count="8" x14ac:knownFonts="1">
    <font>
      <sz val="11"/>
      <name val="ＭＳ Ｐゴシック"/>
      <charset val="128"/>
    </font>
    <font>
      <sz val="6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Arial Unicode MS"/>
      <family val="3"/>
      <charset val="128"/>
    </font>
    <font>
      <sz val="9"/>
      <name val="Arial Unicode MS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 diagonalUp="1">
      <left/>
      <right/>
      <top/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2" fillId="2" borderId="0" xfId="0" applyFont="1" applyFill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4" fontId="3" fillId="0" borderId="0" xfId="0" applyNumberFormat="1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179" fontId="3" fillId="0" borderId="0" xfId="0" applyNumberFormat="1" applyFont="1" applyBorder="1" applyAlignment="1">
      <alignment horizontal="center" vertical="center"/>
    </xf>
    <xf numFmtId="182" fontId="3" fillId="0" borderId="0" xfId="0" applyNumberFormat="1" applyFont="1" applyBorder="1" applyAlignment="1">
      <alignment horizontal="center" vertical="center"/>
    </xf>
    <xf numFmtId="180" fontId="3" fillId="0" borderId="0" xfId="0" applyNumberFormat="1" applyFont="1" applyBorder="1" applyAlignment="1">
      <alignment horizontal="center" vertical="center"/>
    </xf>
    <xf numFmtId="0" fontId="4" fillId="0" borderId="0" xfId="0" applyFont="1"/>
    <xf numFmtId="0" fontId="2" fillId="2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 applyProtection="1">
      <alignment horizontal="center" vertical="center"/>
      <protection locked="0"/>
    </xf>
    <xf numFmtId="2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2" fontId="5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183" fontId="3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20" fontId="3" fillId="0" borderId="0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2" fontId="3" fillId="0" borderId="5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right" vertical="top"/>
    </xf>
    <xf numFmtId="0" fontId="3" fillId="0" borderId="0" xfId="0" applyFont="1" applyAlignment="1">
      <alignment horizontal="right" vertical="top"/>
    </xf>
    <xf numFmtId="181" fontId="3" fillId="0" borderId="0" xfId="0" applyNumberFormat="1" applyFont="1" applyBorder="1" applyAlignment="1">
      <alignment horizontal="center" vertical="center"/>
    </xf>
    <xf numFmtId="178" fontId="3" fillId="0" borderId="0" xfId="0" applyNumberFormat="1" applyFont="1" applyBorder="1" applyAlignment="1">
      <alignment horizontal="center" vertical="center"/>
    </xf>
    <xf numFmtId="177" fontId="3" fillId="0" borderId="0" xfId="0" applyNumberFormat="1" applyFont="1" applyBorder="1" applyAlignment="1">
      <alignment horizontal="center" vertical="center"/>
    </xf>
    <xf numFmtId="0" fontId="2" fillId="0" borderId="0" xfId="0" applyFont="1" applyFill="1" applyBorder="1" applyAlignment="1">
      <alignment horizontal="right" vertical="center"/>
    </xf>
    <xf numFmtId="0" fontId="3" fillId="0" borderId="5" xfId="0" applyNumberFormat="1" applyFont="1" applyBorder="1" applyAlignment="1">
      <alignment horizontal="center" vertical="center"/>
    </xf>
    <xf numFmtId="178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6" fillId="0" borderId="0" xfId="0" applyFont="1" applyBorder="1" applyAlignment="1">
      <alignment horizontal="center" vertical="center" wrapText="1"/>
    </xf>
    <xf numFmtId="14" fontId="2" fillId="2" borderId="2" xfId="0" applyNumberFormat="1" applyFont="1" applyFill="1" applyBorder="1" applyAlignment="1">
      <alignment horizontal="center" vertical="center"/>
    </xf>
    <xf numFmtId="20" fontId="2" fillId="2" borderId="2" xfId="0" applyNumberFormat="1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center" vertical="center"/>
    </xf>
    <xf numFmtId="20" fontId="3" fillId="0" borderId="6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left" vertical="center"/>
    </xf>
    <xf numFmtId="0" fontId="2" fillId="3" borderId="4" xfId="0" applyNumberFormat="1" applyFont="1" applyFill="1" applyBorder="1" applyAlignment="1">
      <alignment horizontal="right" vertical="center"/>
    </xf>
    <xf numFmtId="0" fontId="6" fillId="3" borderId="9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2" fillId="3" borderId="4" xfId="0" applyFont="1" applyFill="1" applyBorder="1" applyAlignment="1">
      <alignment horizontal="right" vertical="center"/>
    </xf>
    <xf numFmtId="0" fontId="3" fillId="3" borderId="9" xfId="0" applyFont="1" applyFill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14" fontId="7" fillId="0" borderId="0" xfId="0" applyNumberFormat="1" applyFont="1" applyBorder="1" applyAlignment="1">
      <alignment vertical="center"/>
    </xf>
    <xf numFmtId="20" fontId="3" fillId="0" borderId="0" xfId="0" applyNumberFormat="1" applyFont="1" applyBorder="1" applyAlignment="1">
      <alignment horizontal="left" vertical="center"/>
    </xf>
    <xf numFmtId="46" fontId="0" fillId="0" borderId="0" xfId="0" applyNumberFormat="1" applyBorder="1"/>
    <xf numFmtId="14" fontId="3" fillId="0" borderId="5" xfId="0" applyNumberFormat="1" applyFont="1" applyBorder="1" applyAlignment="1">
      <alignment horizontal="center" vertical="center"/>
    </xf>
    <xf numFmtId="20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" fillId="3" borderId="10" xfId="0" applyNumberFormat="1" applyFont="1" applyFill="1" applyBorder="1" applyAlignment="1">
      <alignment horizontal="right" vertical="center"/>
    </xf>
    <xf numFmtId="0" fontId="3" fillId="3" borderId="11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46" fontId="0" fillId="0" borderId="0" xfId="0" applyNumberFormat="1" applyFill="1" applyBorder="1" applyAlignment="1">
      <alignment horizontal="center"/>
    </xf>
    <xf numFmtId="1" fontId="3" fillId="0" borderId="0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257175</xdr:colOff>
      <xdr:row>10</xdr:row>
      <xdr:rowOff>95250</xdr:rowOff>
    </xdr:from>
    <xdr:to>
      <xdr:col>15</xdr:col>
      <xdr:colOff>333375</xdr:colOff>
      <xdr:row>11</xdr:row>
      <xdr:rowOff>95250</xdr:rowOff>
    </xdr:to>
    <xdr:sp macro="" textlink="">
      <xdr:nvSpPr>
        <xdr:cNvPr id="12289" name="Line 1">
          <a:extLst>
            <a:ext uri="{FF2B5EF4-FFF2-40B4-BE49-F238E27FC236}">
              <a16:creationId xmlns:a16="http://schemas.microsoft.com/office/drawing/2014/main" id="{00000000-0008-0000-0000-000001300000}"/>
            </a:ext>
          </a:extLst>
        </xdr:cNvPr>
        <xdr:cNvSpPr>
          <a:spLocks noChangeShapeType="1"/>
        </xdr:cNvSpPr>
      </xdr:nvSpPr>
      <xdr:spPr bwMode="auto">
        <a:xfrm>
          <a:off x="6610350" y="1828800"/>
          <a:ext cx="762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16</xdr:col>
      <xdr:colOff>0</xdr:colOff>
      <xdr:row>7</xdr:row>
      <xdr:rowOff>76200</xdr:rowOff>
    </xdr:from>
    <xdr:ext cx="76200" cy="209550"/>
    <xdr:sp macro="" textlink="">
      <xdr:nvSpPr>
        <xdr:cNvPr id="12290" name="Text Box 2">
          <a:extLst>
            <a:ext uri="{FF2B5EF4-FFF2-40B4-BE49-F238E27FC236}">
              <a16:creationId xmlns:a16="http://schemas.microsoft.com/office/drawing/2014/main" id="{00000000-0008-0000-0000-000002300000}"/>
            </a:ext>
          </a:extLst>
        </xdr:cNvPr>
        <xdr:cNvSpPr txBox="1">
          <a:spLocks noChangeArrowheads="1"/>
        </xdr:cNvSpPr>
      </xdr:nvSpPr>
      <xdr:spPr bwMode="auto">
        <a:xfrm>
          <a:off x="6972300" y="1333500"/>
          <a:ext cx="762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95250</xdr:colOff>
      <xdr:row>7</xdr:row>
      <xdr:rowOff>57150</xdr:rowOff>
    </xdr:from>
    <xdr:ext cx="2419350" cy="466725"/>
    <xdr:sp macro="" textlink="">
      <xdr:nvSpPr>
        <xdr:cNvPr id="12291" name="Text Box 3">
          <a:extLst>
            <a:ext uri="{FF2B5EF4-FFF2-40B4-BE49-F238E27FC236}">
              <a16:creationId xmlns:a16="http://schemas.microsoft.com/office/drawing/2014/main" id="{00000000-0008-0000-0000-000003300000}"/>
            </a:ext>
          </a:extLst>
        </xdr:cNvPr>
        <xdr:cNvSpPr txBox="1">
          <a:spLocks noChangeArrowheads="1"/>
        </xdr:cNvSpPr>
      </xdr:nvSpPr>
      <xdr:spPr bwMode="auto">
        <a:xfrm>
          <a:off x="6448425" y="1314450"/>
          <a:ext cx="24193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lnSpc>
              <a:spcPts val="1100"/>
            </a:lnSpc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No.1列のみmmolからの試薬量を計算でき,純度も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考慮します。</a:t>
          </a:r>
        </a:p>
        <a:p>
          <a:pPr algn="l" rtl="0">
            <a:lnSpc>
              <a:spcPts val="1000"/>
            </a:lnSpc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dに数値を入力すれば液量まで計算できます。</a:t>
          </a:r>
        </a:p>
      </xdr:txBody>
    </xdr:sp>
    <xdr:clientData/>
  </xdr:oneCellAnchor>
  <xdr:twoCellAnchor>
    <xdr:from>
      <xdr:col>15</xdr:col>
      <xdr:colOff>152400</xdr:colOff>
      <xdr:row>35</xdr:row>
      <xdr:rowOff>0</xdr:rowOff>
    </xdr:from>
    <xdr:to>
      <xdr:col>16</xdr:col>
      <xdr:colOff>752475</xdr:colOff>
      <xdr:row>54</xdr:row>
      <xdr:rowOff>76200</xdr:rowOff>
    </xdr:to>
    <xdr:grpSp>
      <xdr:nvGrpSpPr>
        <xdr:cNvPr id="12293" name="Group 5">
          <a:extLst>
            <a:ext uri="{FF2B5EF4-FFF2-40B4-BE49-F238E27FC236}">
              <a16:creationId xmlns:a16="http://schemas.microsoft.com/office/drawing/2014/main" id="{00000000-0008-0000-0000-000005300000}"/>
            </a:ext>
          </a:extLst>
        </xdr:cNvPr>
        <xdr:cNvGrpSpPr>
          <a:grpSpLocks/>
        </xdr:cNvGrpSpPr>
      </xdr:nvGrpSpPr>
      <xdr:grpSpPr bwMode="auto">
        <a:xfrm>
          <a:off x="6505575" y="5572125"/>
          <a:ext cx="1219200" cy="2838450"/>
          <a:chOff x="64" y="1006"/>
          <a:chExt cx="128" cy="330"/>
        </a:xfrm>
      </xdr:grpSpPr>
      <xdr:sp macro="" textlink="">
        <xdr:nvSpPr>
          <xdr:cNvPr id="12294" name="Rectangle 6">
            <a:extLst>
              <a:ext uri="{FF2B5EF4-FFF2-40B4-BE49-F238E27FC236}">
                <a16:creationId xmlns:a16="http://schemas.microsoft.com/office/drawing/2014/main" id="{00000000-0008-0000-0000-000006300000}"/>
              </a:ext>
            </a:extLst>
          </xdr:cNvPr>
          <xdr:cNvSpPr>
            <a:spLocks noChangeArrowheads="1"/>
          </xdr:cNvSpPr>
        </xdr:nvSpPr>
        <xdr:spPr bwMode="auto">
          <a:xfrm>
            <a:off x="64" y="1006"/>
            <a:ext cx="128" cy="32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2295" name="Line 7">
            <a:extLst>
              <a:ext uri="{FF2B5EF4-FFF2-40B4-BE49-F238E27FC236}">
                <a16:creationId xmlns:a16="http://schemas.microsoft.com/office/drawing/2014/main" id="{00000000-0008-0000-0000-000007300000}"/>
              </a:ext>
            </a:extLst>
          </xdr:cNvPr>
          <xdr:cNvSpPr>
            <a:spLocks noChangeShapeType="1"/>
          </xdr:cNvSpPr>
        </xdr:nvSpPr>
        <xdr:spPr bwMode="auto">
          <a:xfrm>
            <a:off x="65" y="1291"/>
            <a:ext cx="12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296" name="Text Box 8">
            <a:extLst>
              <a:ext uri="{FF2B5EF4-FFF2-40B4-BE49-F238E27FC236}">
                <a16:creationId xmlns:a16="http://schemas.microsoft.com/office/drawing/2014/main" id="{00000000-0008-0000-0000-0000083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5" y="1306"/>
            <a:ext cx="32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27432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ja-JP" altLang="en-US" sz="11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SM</a:t>
            </a:r>
          </a:p>
        </xdr:txBody>
      </xdr:sp>
      <xdr:sp macro="" textlink="">
        <xdr:nvSpPr>
          <xdr:cNvPr id="12297" name="Text Box 9">
            <a:extLst>
              <a:ext uri="{FF2B5EF4-FFF2-40B4-BE49-F238E27FC236}">
                <a16:creationId xmlns:a16="http://schemas.microsoft.com/office/drawing/2014/main" id="{00000000-0008-0000-0000-0000093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8" y="1312"/>
            <a:ext cx="32" cy="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27432" tIns="18288" rIns="0" bIns="0" anchor="t" upright="1">
            <a:spAutoFit/>
          </a:bodyPr>
          <a:lstStyle/>
          <a:p>
            <a:pPr algn="l" rtl="0">
              <a:defRPr sz="1000"/>
            </a:pPr>
            <a:r>
              <a:rPr lang="ja-JP" altLang="en-US" sz="11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RM</a:t>
            </a:r>
          </a:p>
        </xdr:txBody>
      </xdr:sp>
    </xdr:grpSp>
    <xdr:clientData/>
  </xdr:twoCellAnchor>
  <xdr:twoCellAnchor>
    <xdr:from>
      <xdr:col>17</xdr:col>
      <xdr:colOff>76200</xdr:colOff>
      <xdr:row>36</xdr:row>
      <xdr:rowOff>85725</xdr:rowOff>
    </xdr:from>
    <xdr:to>
      <xdr:col>17</xdr:col>
      <xdr:colOff>352425</xdr:colOff>
      <xdr:row>38</xdr:row>
      <xdr:rowOff>66675</xdr:rowOff>
    </xdr:to>
    <xdr:sp macro="" textlink="">
      <xdr:nvSpPr>
        <xdr:cNvPr id="12298" name="Oval 10">
          <a:extLst>
            <a:ext uri="{FF2B5EF4-FFF2-40B4-BE49-F238E27FC236}">
              <a16:creationId xmlns:a16="http://schemas.microsoft.com/office/drawing/2014/main" id="{00000000-0008-0000-0000-00000A300000}"/>
            </a:ext>
          </a:extLst>
        </xdr:cNvPr>
        <xdr:cNvSpPr>
          <a:spLocks noChangeArrowheads="1"/>
        </xdr:cNvSpPr>
      </xdr:nvSpPr>
      <xdr:spPr bwMode="auto">
        <a:xfrm>
          <a:off x="7886700" y="5800725"/>
          <a:ext cx="276225" cy="2667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17</xdr:col>
      <xdr:colOff>95250</xdr:colOff>
      <xdr:row>40</xdr:row>
      <xdr:rowOff>57150</xdr:rowOff>
    </xdr:from>
    <xdr:to>
      <xdr:col>17</xdr:col>
      <xdr:colOff>371475</xdr:colOff>
      <xdr:row>41</xdr:row>
      <xdr:rowOff>19050</xdr:rowOff>
    </xdr:to>
    <xdr:sp macro="" textlink="">
      <xdr:nvSpPr>
        <xdr:cNvPr id="12299" name="Oval 11">
          <a:extLst>
            <a:ext uri="{FF2B5EF4-FFF2-40B4-BE49-F238E27FC236}">
              <a16:creationId xmlns:a16="http://schemas.microsoft.com/office/drawing/2014/main" id="{00000000-0008-0000-0000-00000B300000}"/>
            </a:ext>
          </a:extLst>
        </xdr:cNvPr>
        <xdr:cNvSpPr>
          <a:spLocks noChangeArrowheads="1"/>
        </xdr:cNvSpPr>
      </xdr:nvSpPr>
      <xdr:spPr bwMode="auto">
        <a:xfrm>
          <a:off x="7905750" y="6343650"/>
          <a:ext cx="276225" cy="1047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17</xdr:col>
      <xdr:colOff>114300</xdr:colOff>
      <xdr:row>42</xdr:row>
      <xdr:rowOff>76200</xdr:rowOff>
    </xdr:from>
    <xdr:to>
      <xdr:col>17</xdr:col>
      <xdr:colOff>333375</xdr:colOff>
      <xdr:row>45</xdr:row>
      <xdr:rowOff>104775</xdr:rowOff>
    </xdr:to>
    <xdr:sp macro="" textlink="">
      <xdr:nvSpPr>
        <xdr:cNvPr id="12300" name="Oval 12">
          <a:extLst>
            <a:ext uri="{FF2B5EF4-FFF2-40B4-BE49-F238E27FC236}">
              <a16:creationId xmlns:a16="http://schemas.microsoft.com/office/drawing/2014/main" id="{00000000-0008-0000-0000-00000C300000}"/>
            </a:ext>
          </a:extLst>
        </xdr:cNvPr>
        <xdr:cNvSpPr>
          <a:spLocks noChangeArrowheads="1"/>
        </xdr:cNvSpPr>
      </xdr:nvSpPr>
      <xdr:spPr bwMode="auto">
        <a:xfrm>
          <a:off x="7924800" y="6648450"/>
          <a:ext cx="219075" cy="4572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17</xdr:col>
      <xdr:colOff>447675</xdr:colOff>
      <xdr:row>36</xdr:row>
      <xdr:rowOff>104775</xdr:rowOff>
    </xdr:from>
    <xdr:to>
      <xdr:col>17</xdr:col>
      <xdr:colOff>723900</xdr:colOff>
      <xdr:row>38</xdr:row>
      <xdr:rowOff>85725</xdr:rowOff>
    </xdr:to>
    <xdr:sp macro="" textlink="">
      <xdr:nvSpPr>
        <xdr:cNvPr id="12301" name="Oval 13">
          <a:extLst>
            <a:ext uri="{FF2B5EF4-FFF2-40B4-BE49-F238E27FC236}">
              <a16:creationId xmlns:a16="http://schemas.microsoft.com/office/drawing/2014/main" id="{00000000-0008-0000-0000-00000D300000}"/>
            </a:ext>
          </a:extLst>
        </xdr:cNvPr>
        <xdr:cNvSpPr>
          <a:spLocks noChangeArrowheads="1"/>
        </xdr:cNvSpPr>
      </xdr:nvSpPr>
      <xdr:spPr bwMode="auto">
        <a:xfrm>
          <a:off x="8258175" y="5819775"/>
          <a:ext cx="276225" cy="2667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</xdr:spPr>
    </xdr:sp>
    <xdr:clientData/>
  </xdr:twoCellAnchor>
  <xdr:twoCellAnchor>
    <xdr:from>
      <xdr:col>17</xdr:col>
      <xdr:colOff>466725</xdr:colOff>
      <xdr:row>40</xdr:row>
      <xdr:rowOff>57150</xdr:rowOff>
    </xdr:from>
    <xdr:to>
      <xdr:col>17</xdr:col>
      <xdr:colOff>742950</xdr:colOff>
      <xdr:row>41</xdr:row>
      <xdr:rowOff>38100</xdr:rowOff>
    </xdr:to>
    <xdr:sp macro="" textlink="">
      <xdr:nvSpPr>
        <xdr:cNvPr id="12302" name="Oval 14">
          <a:extLst>
            <a:ext uri="{FF2B5EF4-FFF2-40B4-BE49-F238E27FC236}">
              <a16:creationId xmlns:a16="http://schemas.microsoft.com/office/drawing/2014/main" id="{00000000-0008-0000-0000-00000E300000}"/>
            </a:ext>
          </a:extLst>
        </xdr:cNvPr>
        <xdr:cNvSpPr>
          <a:spLocks noChangeArrowheads="1"/>
        </xdr:cNvSpPr>
      </xdr:nvSpPr>
      <xdr:spPr bwMode="auto">
        <a:xfrm>
          <a:off x="8277225" y="6343650"/>
          <a:ext cx="276225" cy="1238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</xdr:spPr>
    </xdr:sp>
    <xdr:clientData/>
  </xdr:twoCellAnchor>
  <xdr:twoCellAnchor>
    <xdr:from>
      <xdr:col>17</xdr:col>
      <xdr:colOff>485775</xdr:colOff>
      <xdr:row>42</xdr:row>
      <xdr:rowOff>95250</xdr:rowOff>
    </xdr:from>
    <xdr:to>
      <xdr:col>17</xdr:col>
      <xdr:colOff>704850</xdr:colOff>
      <xdr:row>45</xdr:row>
      <xdr:rowOff>123825</xdr:rowOff>
    </xdr:to>
    <xdr:sp macro="" textlink="">
      <xdr:nvSpPr>
        <xdr:cNvPr id="12303" name="Oval 15">
          <a:extLst>
            <a:ext uri="{FF2B5EF4-FFF2-40B4-BE49-F238E27FC236}">
              <a16:creationId xmlns:a16="http://schemas.microsoft.com/office/drawing/2014/main" id="{00000000-0008-0000-0000-00000F300000}"/>
            </a:ext>
          </a:extLst>
        </xdr:cNvPr>
        <xdr:cNvSpPr>
          <a:spLocks noChangeArrowheads="1"/>
        </xdr:cNvSpPr>
      </xdr:nvSpPr>
      <xdr:spPr bwMode="auto">
        <a:xfrm>
          <a:off x="8296275" y="6667500"/>
          <a:ext cx="219075" cy="4572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9696" mc:Ignorable="a14" a14:legacySpreadsheetColorIndex="55"/>
        </a:solidFill>
        <a:ln w="9525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36</xdr:row>
      <xdr:rowOff>85725</xdr:rowOff>
    </xdr:from>
    <xdr:to>
      <xdr:col>19</xdr:col>
      <xdr:colOff>276225</xdr:colOff>
      <xdr:row>38</xdr:row>
      <xdr:rowOff>66675</xdr:rowOff>
    </xdr:to>
    <xdr:sp macro="" textlink="">
      <xdr:nvSpPr>
        <xdr:cNvPr id="12304" name="Oval 16">
          <a:extLst>
            <a:ext uri="{FF2B5EF4-FFF2-40B4-BE49-F238E27FC236}">
              <a16:creationId xmlns:a16="http://schemas.microsoft.com/office/drawing/2014/main" id="{00000000-0008-0000-0000-000010300000}"/>
            </a:ext>
          </a:extLst>
        </xdr:cNvPr>
        <xdr:cNvSpPr>
          <a:spLocks noChangeArrowheads="1"/>
        </xdr:cNvSpPr>
      </xdr:nvSpPr>
      <xdr:spPr bwMode="auto">
        <a:xfrm>
          <a:off x="8696325" y="5800725"/>
          <a:ext cx="276225" cy="2667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C0C0C0" mc:Ignorable="a14" a14:legacySpreadsheetColorIndex="22"/>
          </a:solidFill>
          <a:round/>
          <a:headEnd/>
          <a:tailEnd/>
        </a:ln>
      </xdr:spPr>
    </xdr:sp>
    <xdr:clientData/>
  </xdr:twoCellAnchor>
  <xdr:twoCellAnchor>
    <xdr:from>
      <xdr:col>19</xdr:col>
      <xdr:colOff>19050</xdr:colOff>
      <xdr:row>40</xdr:row>
      <xdr:rowOff>57150</xdr:rowOff>
    </xdr:from>
    <xdr:to>
      <xdr:col>19</xdr:col>
      <xdr:colOff>295275</xdr:colOff>
      <xdr:row>41</xdr:row>
      <xdr:rowOff>19050</xdr:rowOff>
    </xdr:to>
    <xdr:sp macro="" textlink="">
      <xdr:nvSpPr>
        <xdr:cNvPr id="12305" name="Oval 17">
          <a:extLst>
            <a:ext uri="{FF2B5EF4-FFF2-40B4-BE49-F238E27FC236}">
              <a16:creationId xmlns:a16="http://schemas.microsoft.com/office/drawing/2014/main" id="{00000000-0008-0000-0000-000011300000}"/>
            </a:ext>
          </a:extLst>
        </xdr:cNvPr>
        <xdr:cNvSpPr>
          <a:spLocks noChangeArrowheads="1"/>
        </xdr:cNvSpPr>
      </xdr:nvSpPr>
      <xdr:spPr bwMode="auto">
        <a:xfrm>
          <a:off x="8715375" y="6343650"/>
          <a:ext cx="276225" cy="1047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C0C0C0" mc:Ignorable="a14" a14:legacySpreadsheetColorIndex="22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42</xdr:row>
      <xdr:rowOff>76200</xdr:rowOff>
    </xdr:from>
    <xdr:to>
      <xdr:col>19</xdr:col>
      <xdr:colOff>257175</xdr:colOff>
      <xdr:row>45</xdr:row>
      <xdr:rowOff>104775</xdr:rowOff>
    </xdr:to>
    <xdr:sp macro="" textlink="">
      <xdr:nvSpPr>
        <xdr:cNvPr id="12306" name="Oval 18">
          <a:extLst>
            <a:ext uri="{FF2B5EF4-FFF2-40B4-BE49-F238E27FC236}">
              <a16:creationId xmlns:a16="http://schemas.microsoft.com/office/drawing/2014/main" id="{00000000-0008-0000-0000-000012300000}"/>
            </a:ext>
          </a:extLst>
        </xdr:cNvPr>
        <xdr:cNvSpPr>
          <a:spLocks noChangeArrowheads="1"/>
        </xdr:cNvSpPr>
      </xdr:nvSpPr>
      <xdr:spPr bwMode="auto">
        <a:xfrm>
          <a:off x="8734425" y="6648450"/>
          <a:ext cx="219075" cy="4572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C0C0C0" mc:Ignorable="a14" a14:legacySpreadsheetColorIndex="22"/>
          </a:solidFill>
          <a:round/>
          <a:headEnd/>
          <a:tailEnd/>
        </a:ln>
      </xdr:spPr>
    </xdr:sp>
    <xdr:clientData/>
  </xdr:twoCellAnchor>
  <xdr:twoCellAnchor>
    <xdr:from>
      <xdr:col>15</xdr:col>
      <xdr:colOff>257175</xdr:colOff>
      <xdr:row>45</xdr:row>
      <xdr:rowOff>66675</xdr:rowOff>
    </xdr:from>
    <xdr:to>
      <xdr:col>15</xdr:col>
      <xdr:colOff>533400</xdr:colOff>
      <xdr:row>47</xdr:row>
      <xdr:rowOff>104775</xdr:rowOff>
    </xdr:to>
    <xdr:sp macro="" textlink="">
      <xdr:nvSpPr>
        <xdr:cNvPr id="12307" name="Oval 19">
          <a:extLst>
            <a:ext uri="{FF2B5EF4-FFF2-40B4-BE49-F238E27FC236}">
              <a16:creationId xmlns:a16="http://schemas.microsoft.com/office/drawing/2014/main" id="{00000000-0008-0000-0000-000013300000}"/>
            </a:ext>
          </a:extLst>
        </xdr:cNvPr>
        <xdr:cNvSpPr>
          <a:spLocks noChangeArrowheads="1"/>
        </xdr:cNvSpPr>
      </xdr:nvSpPr>
      <xdr:spPr bwMode="auto">
        <a:xfrm>
          <a:off x="6610350" y="7067550"/>
          <a:ext cx="27622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15</xdr:col>
      <xdr:colOff>590550</xdr:colOff>
      <xdr:row>45</xdr:row>
      <xdr:rowOff>76200</xdr:rowOff>
    </xdr:from>
    <xdr:to>
      <xdr:col>16</xdr:col>
      <xdr:colOff>247650</xdr:colOff>
      <xdr:row>47</xdr:row>
      <xdr:rowOff>114300</xdr:rowOff>
    </xdr:to>
    <xdr:sp macro="" textlink="">
      <xdr:nvSpPr>
        <xdr:cNvPr id="12308" name="Oval 20">
          <a:extLst>
            <a:ext uri="{FF2B5EF4-FFF2-40B4-BE49-F238E27FC236}">
              <a16:creationId xmlns:a16="http://schemas.microsoft.com/office/drawing/2014/main" id="{00000000-0008-0000-0000-000014300000}"/>
            </a:ext>
          </a:extLst>
        </xdr:cNvPr>
        <xdr:cNvSpPr>
          <a:spLocks noChangeArrowheads="1"/>
        </xdr:cNvSpPr>
      </xdr:nvSpPr>
      <xdr:spPr bwMode="auto">
        <a:xfrm>
          <a:off x="6943725" y="7077075"/>
          <a:ext cx="27622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15</xdr:col>
      <xdr:colOff>552450</xdr:colOff>
      <xdr:row>36</xdr:row>
      <xdr:rowOff>57150</xdr:rowOff>
    </xdr:from>
    <xdr:to>
      <xdr:col>16</xdr:col>
      <xdr:colOff>209550</xdr:colOff>
      <xdr:row>37</xdr:row>
      <xdr:rowOff>28575</xdr:rowOff>
    </xdr:to>
    <xdr:sp macro="" textlink="">
      <xdr:nvSpPr>
        <xdr:cNvPr id="12309" name="Oval 21">
          <a:extLst>
            <a:ext uri="{FF2B5EF4-FFF2-40B4-BE49-F238E27FC236}">
              <a16:creationId xmlns:a16="http://schemas.microsoft.com/office/drawing/2014/main" id="{00000000-0008-0000-0000-000015300000}"/>
            </a:ext>
          </a:extLst>
        </xdr:cNvPr>
        <xdr:cNvSpPr>
          <a:spLocks noChangeArrowheads="1"/>
        </xdr:cNvSpPr>
      </xdr:nvSpPr>
      <xdr:spPr bwMode="auto">
        <a:xfrm>
          <a:off x="6905625" y="5772150"/>
          <a:ext cx="276225" cy="1143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16</xdr:col>
      <xdr:colOff>361950</xdr:colOff>
      <xdr:row>36</xdr:row>
      <xdr:rowOff>47625</xdr:rowOff>
    </xdr:from>
    <xdr:to>
      <xdr:col>16</xdr:col>
      <xdr:colOff>638175</xdr:colOff>
      <xdr:row>37</xdr:row>
      <xdr:rowOff>9525</xdr:rowOff>
    </xdr:to>
    <xdr:sp macro="" textlink="">
      <xdr:nvSpPr>
        <xdr:cNvPr id="12310" name="Oval 22">
          <a:extLst>
            <a:ext uri="{FF2B5EF4-FFF2-40B4-BE49-F238E27FC236}">
              <a16:creationId xmlns:a16="http://schemas.microsoft.com/office/drawing/2014/main" id="{00000000-0008-0000-0000-000016300000}"/>
            </a:ext>
          </a:extLst>
        </xdr:cNvPr>
        <xdr:cNvSpPr>
          <a:spLocks noChangeArrowheads="1"/>
        </xdr:cNvSpPr>
      </xdr:nvSpPr>
      <xdr:spPr bwMode="auto">
        <a:xfrm>
          <a:off x="7334250" y="5762625"/>
          <a:ext cx="276225" cy="1047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15</xdr:col>
      <xdr:colOff>266700</xdr:colOff>
      <xdr:row>40</xdr:row>
      <xdr:rowOff>57150</xdr:rowOff>
    </xdr:from>
    <xdr:to>
      <xdr:col>15</xdr:col>
      <xdr:colOff>447675</xdr:colOff>
      <xdr:row>41</xdr:row>
      <xdr:rowOff>76200</xdr:rowOff>
    </xdr:to>
    <xdr:sp macro="" textlink="">
      <xdr:nvSpPr>
        <xdr:cNvPr id="12311" name="Oval 23">
          <a:extLst>
            <a:ext uri="{FF2B5EF4-FFF2-40B4-BE49-F238E27FC236}">
              <a16:creationId xmlns:a16="http://schemas.microsoft.com/office/drawing/2014/main" id="{00000000-0008-0000-0000-000017300000}"/>
            </a:ext>
          </a:extLst>
        </xdr:cNvPr>
        <xdr:cNvSpPr>
          <a:spLocks noChangeArrowheads="1"/>
        </xdr:cNvSpPr>
      </xdr:nvSpPr>
      <xdr:spPr bwMode="auto">
        <a:xfrm>
          <a:off x="6619875" y="6343650"/>
          <a:ext cx="180975" cy="1619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16</xdr:col>
      <xdr:colOff>9525</xdr:colOff>
      <xdr:row>40</xdr:row>
      <xdr:rowOff>57150</xdr:rowOff>
    </xdr:from>
    <xdr:to>
      <xdr:col>16</xdr:col>
      <xdr:colOff>190500</xdr:colOff>
      <xdr:row>41</xdr:row>
      <xdr:rowOff>76200</xdr:rowOff>
    </xdr:to>
    <xdr:sp macro="" textlink="">
      <xdr:nvSpPr>
        <xdr:cNvPr id="12312" name="Oval 24">
          <a:extLst>
            <a:ext uri="{FF2B5EF4-FFF2-40B4-BE49-F238E27FC236}">
              <a16:creationId xmlns:a16="http://schemas.microsoft.com/office/drawing/2014/main" id="{00000000-0008-0000-0000-000018300000}"/>
            </a:ext>
          </a:extLst>
        </xdr:cNvPr>
        <xdr:cNvSpPr>
          <a:spLocks noChangeArrowheads="1"/>
        </xdr:cNvSpPr>
      </xdr:nvSpPr>
      <xdr:spPr bwMode="auto">
        <a:xfrm>
          <a:off x="6981825" y="6343650"/>
          <a:ext cx="180975" cy="1619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15</xdr:col>
      <xdr:colOff>561975</xdr:colOff>
      <xdr:row>40</xdr:row>
      <xdr:rowOff>9525</xdr:rowOff>
    </xdr:from>
    <xdr:to>
      <xdr:col>16</xdr:col>
      <xdr:colOff>219075</xdr:colOff>
      <xdr:row>40</xdr:row>
      <xdr:rowOff>114300</xdr:rowOff>
    </xdr:to>
    <xdr:sp macro="" textlink="">
      <xdr:nvSpPr>
        <xdr:cNvPr id="12313" name="Oval 25">
          <a:extLst>
            <a:ext uri="{FF2B5EF4-FFF2-40B4-BE49-F238E27FC236}">
              <a16:creationId xmlns:a16="http://schemas.microsoft.com/office/drawing/2014/main" id="{00000000-0008-0000-0000-000019300000}"/>
            </a:ext>
          </a:extLst>
        </xdr:cNvPr>
        <xdr:cNvSpPr>
          <a:spLocks noChangeArrowheads="1"/>
        </xdr:cNvSpPr>
      </xdr:nvSpPr>
      <xdr:spPr bwMode="auto">
        <a:xfrm>
          <a:off x="6915150" y="6296025"/>
          <a:ext cx="276225" cy="1047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16</xdr:col>
      <xdr:colOff>304800</xdr:colOff>
      <xdr:row>40</xdr:row>
      <xdr:rowOff>0</xdr:rowOff>
    </xdr:from>
    <xdr:to>
      <xdr:col>16</xdr:col>
      <xdr:colOff>581025</xdr:colOff>
      <xdr:row>40</xdr:row>
      <xdr:rowOff>104775</xdr:rowOff>
    </xdr:to>
    <xdr:sp macro="" textlink="">
      <xdr:nvSpPr>
        <xdr:cNvPr id="12314" name="Oval 26">
          <a:extLst>
            <a:ext uri="{FF2B5EF4-FFF2-40B4-BE49-F238E27FC236}">
              <a16:creationId xmlns:a16="http://schemas.microsoft.com/office/drawing/2014/main" id="{00000000-0008-0000-0000-00001A300000}"/>
            </a:ext>
          </a:extLst>
        </xdr:cNvPr>
        <xdr:cNvSpPr>
          <a:spLocks noChangeArrowheads="1"/>
        </xdr:cNvSpPr>
      </xdr:nvSpPr>
      <xdr:spPr bwMode="auto">
        <a:xfrm>
          <a:off x="7277100" y="6286500"/>
          <a:ext cx="276225" cy="1047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16</xdr:col>
      <xdr:colOff>352425</xdr:colOff>
      <xdr:row>45</xdr:row>
      <xdr:rowOff>47625</xdr:rowOff>
    </xdr:from>
    <xdr:to>
      <xdr:col>16</xdr:col>
      <xdr:colOff>628650</xdr:colOff>
      <xdr:row>47</xdr:row>
      <xdr:rowOff>85725</xdr:rowOff>
    </xdr:to>
    <xdr:sp macro="" textlink="">
      <xdr:nvSpPr>
        <xdr:cNvPr id="12315" name="Oval 27">
          <a:extLst>
            <a:ext uri="{FF2B5EF4-FFF2-40B4-BE49-F238E27FC236}">
              <a16:creationId xmlns:a16="http://schemas.microsoft.com/office/drawing/2014/main" id="{00000000-0008-0000-0000-00001B300000}"/>
            </a:ext>
          </a:extLst>
        </xdr:cNvPr>
        <xdr:cNvSpPr>
          <a:spLocks noChangeArrowheads="1"/>
        </xdr:cNvSpPr>
      </xdr:nvSpPr>
      <xdr:spPr bwMode="auto">
        <a:xfrm>
          <a:off x="7324725" y="7048500"/>
          <a:ext cx="276225" cy="3238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29</xdr:row>
          <xdr:rowOff>19050</xdr:rowOff>
        </xdr:from>
        <xdr:to>
          <xdr:col>2</xdr:col>
          <xdr:colOff>485775</xdr:colOff>
          <xdr:row>30</xdr:row>
          <xdr:rowOff>0</xdr:rowOff>
        </xdr:to>
        <xdr:sp macro="" textlink="">
          <xdr:nvSpPr>
            <xdr:cNvPr id="12316" name="CheckBox1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0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30</xdr:row>
          <xdr:rowOff>9525</xdr:rowOff>
        </xdr:from>
        <xdr:to>
          <xdr:col>2</xdr:col>
          <xdr:colOff>485775</xdr:colOff>
          <xdr:row>30</xdr:row>
          <xdr:rowOff>171450</xdr:rowOff>
        </xdr:to>
        <xdr:sp macro="" textlink="">
          <xdr:nvSpPr>
            <xdr:cNvPr id="12317" name="CheckBox2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0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31</xdr:row>
          <xdr:rowOff>9525</xdr:rowOff>
        </xdr:from>
        <xdr:to>
          <xdr:col>2</xdr:col>
          <xdr:colOff>485775</xdr:colOff>
          <xdr:row>31</xdr:row>
          <xdr:rowOff>171450</xdr:rowOff>
        </xdr:to>
        <xdr:sp macro="" textlink="">
          <xdr:nvSpPr>
            <xdr:cNvPr id="12318" name="CheckBox3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0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29</xdr:row>
          <xdr:rowOff>19050</xdr:rowOff>
        </xdr:from>
        <xdr:to>
          <xdr:col>5</xdr:col>
          <xdr:colOff>352425</xdr:colOff>
          <xdr:row>30</xdr:row>
          <xdr:rowOff>0</xdr:rowOff>
        </xdr:to>
        <xdr:sp macro="" textlink="">
          <xdr:nvSpPr>
            <xdr:cNvPr id="12319" name="CheckBox4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0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30</xdr:row>
          <xdr:rowOff>9525</xdr:rowOff>
        </xdr:from>
        <xdr:to>
          <xdr:col>5</xdr:col>
          <xdr:colOff>352425</xdr:colOff>
          <xdr:row>30</xdr:row>
          <xdr:rowOff>171450</xdr:rowOff>
        </xdr:to>
        <xdr:sp macro="" textlink="">
          <xdr:nvSpPr>
            <xdr:cNvPr id="12320" name="CheckBox5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0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31</xdr:row>
          <xdr:rowOff>9525</xdr:rowOff>
        </xdr:from>
        <xdr:to>
          <xdr:col>5</xdr:col>
          <xdr:colOff>352425</xdr:colOff>
          <xdr:row>31</xdr:row>
          <xdr:rowOff>171450</xdr:rowOff>
        </xdr:to>
        <xdr:sp macro="" textlink="">
          <xdr:nvSpPr>
            <xdr:cNvPr id="12321" name="CheckBox6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0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29</xdr:row>
          <xdr:rowOff>19050</xdr:rowOff>
        </xdr:from>
        <xdr:to>
          <xdr:col>8</xdr:col>
          <xdr:colOff>200025</xdr:colOff>
          <xdr:row>30</xdr:row>
          <xdr:rowOff>0</xdr:rowOff>
        </xdr:to>
        <xdr:sp macro="" textlink="">
          <xdr:nvSpPr>
            <xdr:cNvPr id="12322" name="CheckBox7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0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30</xdr:row>
          <xdr:rowOff>9525</xdr:rowOff>
        </xdr:from>
        <xdr:to>
          <xdr:col>8</xdr:col>
          <xdr:colOff>200025</xdr:colOff>
          <xdr:row>30</xdr:row>
          <xdr:rowOff>171450</xdr:rowOff>
        </xdr:to>
        <xdr:sp macro="" textlink="">
          <xdr:nvSpPr>
            <xdr:cNvPr id="12323" name="CheckBox8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0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31</xdr:row>
          <xdr:rowOff>9525</xdr:rowOff>
        </xdr:from>
        <xdr:to>
          <xdr:col>8</xdr:col>
          <xdr:colOff>200025</xdr:colOff>
          <xdr:row>31</xdr:row>
          <xdr:rowOff>171450</xdr:rowOff>
        </xdr:to>
        <xdr:sp macro="" textlink="">
          <xdr:nvSpPr>
            <xdr:cNvPr id="12324" name="CheckBox9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0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476250</xdr:colOff>
      <xdr:row>44</xdr:row>
      <xdr:rowOff>76200</xdr:rowOff>
    </xdr:from>
    <xdr:ext cx="76200" cy="209550"/>
    <xdr:sp macro="" textlink="">
      <xdr:nvSpPr>
        <xdr:cNvPr id="12325" name="Text Box 37">
          <a:extLst>
            <a:ext uri="{FF2B5EF4-FFF2-40B4-BE49-F238E27FC236}">
              <a16:creationId xmlns:a16="http://schemas.microsoft.com/office/drawing/2014/main" id="{00000000-0008-0000-0000-000025300000}"/>
            </a:ext>
          </a:extLst>
        </xdr:cNvPr>
        <xdr:cNvSpPr txBox="1">
          <a:spLocks noChangeArrowheads="1"/>
        </xdr:cNvSpPr>
      </xdr:nvSpPr>
      <xdr:spPr bwMode="auto">
        <a:xfrm>
          <a:off x="1724025" y="6934200"/>
          <a:ext cx="762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638175</xdr:colOff>
          <xdr:row>3</xdr:row>
          <xdr:rowOff>38100</xdr:rowOff>
        </xdr:from>
        <xdr:to>
          <xdr:col>10</xdr:col>
          <xdr:colOff>552450</xdr:colOff>
          <xdr:row>11</xdr:row>
          <xdr:rowOff>38100</xdr:rowOff>
        </xdr:to>
        <xdr:sp macro="" textlink="">
          <xdr:nvSpPr>
            <xdr:cNvPr id="12327" name="Object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0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image" Target="../media/image3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4" Type="http://schemas.openxmlformats.org/officeDocument/2006/relationships/oleObject" Target="../embeddings/oleObject1.bin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7"/>
  <dimension ref="A1:AE74"/>
  <sheetViews>
    <sheetView tabSelected="1" workbookViewId="0">
      <selection activeCell="I48" sqref="I48"/>
    </sheetView>
  </sheetViews>
  <sheetFormatPr defaultRowHeight="11.25" x14ac:dyDescent="0.15"/>
  <cols>
    <col min="1" max="1" width="4.25" style="7" bestFit="1" customWidth="1"/>
    <col min="2" max="2" width="12.125" style="7" bestFit="1" customWidth="1"/>
    <col min="3" max="3" width="11.375" style="7" bestFit="1" customWidth="1"/>
    <col min="4" max="4" width="10.5" style="7" bestFit="1" customWidth="1"/>
    <col min="5" max="5" width="3.875" style="7" hidden="1" customWidth="1"/>
    <col min="6" max="6" width="8.25" style="7" customWidth="1"/>
    <col min="7" max="7" width="4.75" style="7" hidden="1" customWidth="1"/>
    <col min="8" max="8" width="7.875" style="7" customWidth="1"/>
    <col min="9" max="9" width="3.625" style="7" bestFit="1" customWidth="1"/>
    <col min="10" max="10" width="9.125" style="7" bestFit="1" customWidth="1"/>
    <col min="11" max="11" width="8.5" style="7" bestFit="1" customWidth="1"/>
    <col min="12" max="12" width="2.375" style="7" customWidth="1"/>
    <col min="13" max="13" width="5.375" style="7" customWidth="1"/>
    <col min="14" max="14" width="1.125" style="7" hidden="1" customWidth="1"/>
    <col min="15" max="15" width="7.25" style="7" hidden="1" customWidth="1"/>
    <col min="16" max="16" width="8.125" style="7" customWidth="1"/>
    <col min="17" max="17" width="11" style="7" customWidth="1"/>
    <col min="18" max="18" width="11.625" style="7" customWidth="1"/>
    <col min="19" max="19" width="9" style="7" hidden="1" customWidth="1"/>
    <col min="20" max="20" width="8.375" style="7" bestFit="1" customWidth="1"/>
    <col min="21" max="21" width="9" style="7" hidden="1" customWidth="1"/>
    <col min="22" max="23" width="11" style="7" hidden="1" customWidth="1"/>
    <col min="24" max="24" width="3.25" style="7" customWidth="1"/>
    <col min="25" max="25" width="5.125" style="7" customWidth="1"/>
    <col min="26" max="26" width="4" style="7" bestFit="1" customWidth="1"/>
    <col min="27" max="27" width="2.5" style="7" customWidth="1"/>
    <col min="28" max="28" width="5" style="7" bestFit="1" customWidth="1"/>
    <col min="29" max="16384" width="9" style="7"/>
  </cols>
  <sheetData>
    <row r="1" spans="1:31" ht="25.5" customHeight="1" x14ac:dyDescent="0.15">
      <c r="A1" s="1" t="s">
        <v>8</v>
      </c>
      <c r="B1" s="2" t="s">
        <v>50</v>
      </c>
      <c r="C1" s="1" t="s">
        <v>9</v>
      </c>
      <c r="D1" s="2"/>
      <c r="E1" s="3"/>
      <c r="F1" s="3"/>
      <c r="G1" s="3" t="s">
        <v>48</v>
      </c>
      <c r="H1" s="3"/>
      <c r="I1" s="4"/>
      <c r="J1" s="5" t="s">
        <v>0</v>
      </c>
      <c r="K1" s="6">
        <v>39175</v>
      </c>
      <c r="L1" s="3"/>
      <c r="M1" s="3"/>
      <c r="N1" s="3"/>
      <c r="O1" s="3"/>
      <c r="P1" s="3"/>
      <c r="U1" s="7">
        <v>1</v>
      </c>
    </row>
    <row r="2" spans="1:31" ht="3.75" customHeight="1" x14ac:dyDescent="0.15">
      <c r="AC2" s="8" t="str">
        <f>IF(COUNTA(W2)=0,"",$M$14*AA2/W2)</f>
        <v/>
      </c>
      <c r="AD2" s="8"/>
      <c r="AE2" s="9" t="str">
        <f>IF(COUNTA(W2)=0,"",AC2*W2)</f>
        <v/>
      </c>
    </row>
    <row r="3" spans="1:31" ht="24.75" customHeight="1" thickBot="1" x14ac:dyDescent="0.2">
      <c r="A3" s="10" t="s">
        <v>10</v>
      </c>
      <c r="B3" s="11"/>
      <c r="C3" s="105" t="s">
        <v>11</v>
      </c>
      <c r="D3" s="106"/>
      <c r="E3" s="106"/>
      <c r="F3" s="106"/>
      <c r="G3" s="106"/>
      <c r="H3" s="106"/>
      <c r="I3" s="106"/>
      <c r="J3" s="106"/>
      <c r="K3" s="106"/>
      <c r="L3" s="106"/>
      <c r="M3" s="107"/>
    </row>
    <row r="4" spans="1:31" x14ac:dyDescent="0.15">
      <c r="A4" s="73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3"/>
    </row>
    <row r="5" spans="1:31" x14ac:dyDescent="0.15">
      <c r="A5" s="19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94"/>
      <c r="T5" s="12"/>
    </row>
    <row r="6" spans="1:31" x14ac:dyDescent="0.15">
      <c r="A6" s="19"/>
      <c r="B6" s="3"/>
      <c r="C6" s="95"/>
      <c r="D6" s="3"/>
      <c r="E6" s="3"/>
      <c r="F6" s="3"/>
      <c r="G6" s="3"/>
      <c r="H6" s="3"/>
      <c r="I6" s="3"/>
      <c r="J6" s="3"/>
      <c r="K6" s="3"/>
      <c r="L6" s="3"/>
      <c r="M6" s="94"/>
      <c r="T6" s="13"/>
    </row>
    <row r="7" spans="1:31" x14ac:dyDescent="0.15">
      <c r="A7" s="19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94"/>
      <c r="T7" s="13"/>
    </row>
    <row r="8" spans="1:31" x14ac:dyDescent="0.15">
      <c r="A8" s="19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94"/>
      <c r="T8" s="14"/>
    </row>
    <row r="9" spans="1:31" x14ac:dyDescent="0.15">
      <c r="A9" s="19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94"/>
      <c r="T9" s="14"/>
    </row>
    <row r="10" spans="1:31" ht="15" x14ac:dyDescent="0.3">
      <c r="A10" s="19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94"/>
      <c r="T10" s="15"/>
    </row>
    <row r="11" spans="1:31" x14ac:dyDescent="0.15">
      <c r="A11" s="19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94"/>
    </row>
    <row r="12" spans="1:31" ht="12" thickBot="1" x14ac:dyDescent="0.2">
      <c r="A12" s="83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96"/>
    </row>
    <row r="13" spans="1:31" ht="12" thickBot="1" x14ac:dyDescent="0.2">
      <c r="A13" s="88" t="s">
        <v>12</v>
      </c>
      <c r="B13" s="89" t="s">
        <v>13</v>
      </c>
      <c r="C13" s="88" t="s">
        <v>14</v>
      </c>
      <c r="D13" s="88" t="s">
        <v>15</v>
      </c>
      <c r="E13" s="90" t="s">
        <v>16</v>
      </c>
      <c r="F13" s="88" t="s">
        <v>17</v>
      </c>
      <c r="G13" s="91" t="s">
        <v>1</v>
      </c>
      <c r="H13" s="88" t="s">
        <v>18</v>
      </c>
      <c r="I13" s="89" t="s">
        <v>19</v>
      </c>
      <c r="J13" s="88" t="s">
        <v>20</v>
      </c>
      <c r="K13" s="109" t="s">
        <v>21</v>
      </c>
      <c r="L13" s="109"/>
      <c r="M13" s="88" t="s">
        <v>22</v>
      </c>
      <c r="N13" s="17"/>
      <c r="O13" s="18"/>
      <c r="P13" s="97" t="s">
        <v>2</v>
      </c>
      <c r="Q13" s="19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</row>
    <row r="14" spans="1:31" ht="12.75" thickTop="1" thickBot="1" x14ac:dyDescent="0.2">
      <c r="A14" s="3">
        <v>1</v>
      </c>
      <c r="B14" s="20" t="s">
        <v>23</v>
      </c>
      <c r="C14" s="3" t="s">
        <v>24</v>
      </c>
      <c r="D14" s="21">
        <v>567</v>
      </c>
      <c r="E14" s="3"/>
      <c r="F14" s="3">
        <v>90</v>
      </c>
      <c r="G14" s="3"/>
      <c r="H14" s="3"/>
      <c r="I14" s="99"/>
      <c r="J14" s="22">
        <v>1260</v>
      </c>
      <c r="K14" s="22">
        <v>1258740</v>
      </c>
      <c r="L14" s="22"/>
      <c r="M14" s="22">
        <v>2</v>
      </c>
      <c r="N14" s="9"/>
      <c r="O14" s="9"/>
      <c r="P14" s="98">
        <v>2</v>
      </c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</row>
    <row r="15" spans="1:31" x14ac:dyDescent="0.15">
      <c r="A15" s="3">
        <v>2</v>
      </c>
      <c r="B15" s="20" t="s">
        <v>49</v>
      </c>
      <c r="C15" s="3" t="s">
        <v>25</v>
      </c>
      <c r="D15" s="3">
        <v>181.61699999999999</v>
      </c>
      <c r="E15" s="3"/>
      <c r="F15" s="3"/>
      <c r="G15" s="3"/>
      <c r="H15" s="3">
        <v>4</v>
      </c>
      <c r="I15" s="3">
        <v>1.2</v>
      </c>
      <c r="J15" s="22">
        <v>435.88079999999997</v>
      </c>
      <c r="K15" s="22">
        <v>108.97019999999999</v>
      </c>
      <c r="L15" s="22" t="s">
        <v>26</v>
      </c>
      <c r="M15" s="22">
        <v>2.4</v>
      </c>
      <c r="N15" s="9"/>
      <c r="O15" s="9"/>
      <c r="P15" s="22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</row>
    <row r="16" spans="1:31" x14ac:dyDescent="0.15">
      <c r="A16" s="3">
        <v>3</v>
      </c>
      <c r="B16" s="20" t="s">
        <v>27</v>
      </c>
      <c r="C16" s="3" t="s">
        <v>28</v>
      </c>
      <c r="D16" s="3">
        <v>191.7</v>
      </c>
      <c r="E16" s="3"/>
      <c r="F16" s="3"/>
      <c r="G16" s="3"/>
      <c r="H16" s="3"/>
      <c r="I16" s="3">
        <v>3</v>
      </c>
      <c r="J16" s="22">
        <v>1150.2</v>
      </c>
      <c r="K16" s="22"/>
      <c r="L16" s="22"/>
      <c r="M16" s="22">
        <v>6</v>
      </c>
      <c r="N16" s="9"/>
      <c r="O16" s="9"/>
      <c r="P16" s="22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</row>
    <row r="17" spans="1:28" x14ac:dyDescent="0.15">
      <c r="A17" s="3">
        <v>4</v>
      </c>
      <c r="B17" s="20"/>
      <c r="C17" s="23"/>
      <c r="D17" s="3"/>
      <c r="E17" s="23"/>
      <c r="F17" s="23"/>
      <c r="G17" s="23"/>
      <c r="H17" s="23"/>
      <c r="I17" s="23"/>
      <c r="J17" s="24"/>
      <c r="K17" s="24"/>
      <c r="L17" s="24"/>
      <c r="M17" s="24"/>
      <c r="N17" s="22"/>
      <c r="O17" s="22"/>
      <c r="P17" s="21"/>
      <c r="Q17" s="3"/>
    </row>
    <row r="18" spans="1:28" x14ac:dyDescent="0.15">
      <c r="A18" s="3">
        <v>5</v>
      </c>
      <c r="B18" s="20"/>
      <c r="C18" s="3"/>
      <c r="D18" s="3"/>
      <c r="E18" s="3"/>
      <c r="F18" s="3"/>
      <c r="G18" s="3"/>
      <c r="H18" s="3"/>
      <c r="I18" s="3"/>
      <c r="J18" s="22"/>
      <c r="K18" s="22"/>
      <c r="L18" s="22"/>
      <c r="M18" s="22"/>
      <c r="N18" s="9"/>
      <c r="O18" s="9"/>
      <c r="P18" s="25"/>
      <c r="Q18" s="3"/>
    </row>
    <row r="19" spans="1:28" s="3" customFormat="1" x14ac:dyDescent="0.15">
      <c r="A19" s="3">
        <v>6</v>
      </c>
      <c r="B19" s="20"/>
      <c r="J19" s="22"/>
      <c r="K19" s="22"/>
      <c r="L19" s="22"/>
      <c r="M19" s="22"/>
      <c r="N19" s="22"/>
      <c r="O19" s="22"/>
      <c r="P19" s="21"/>
    </row>
    <row r="20" spans="1:28" s="3" customFormat="1" ht="13.5" x14ac:dyDescent="0.15">
      <c r="A20" s="3">
        <v>7</v>
      </c>
      <c r="B20" s="20"/>
      <c r="J20" s="22"/>
      <c r="K20" s="22"/>
      <c r="L20" s="22"/>
      <c r="M20" s="22"/>
      <c r="O20" s="26"/>
      <c r="P20" s="27"/>
      <c r="Q20" s="27"/>
      <c r="R20" s="28"/>
      <c r="S20" s="27"/>
      <c r="T20" s="27"/>
      <c r="U20" s="28"/>
      <c r="V20" s="27"/>
      <c r="W20" s="27"/>
      <c r="X20" s="28"/>
      <c r="AA20" s="26"/>
    </row>
    <row r="21" spans="1:28" s="3" customFormat="1" ht="13.5" x14ac:dyDescent="0.15">
      <c r="A21" s="3">
        <v>8</v>
      </c>
      <c r="B21" s="20"/>
      <c r="J21" s="22"/>
      <c r="K21" s="22"/>
      <c r="L21" s="22"/>
      <c r="M21" s="29"/>
      <c r="P21" s="30"/>
      <c r="Q21" s="31"/>
      <c r="R21" s="31"/>
      <c r="S21" s="30"/>
      <c r="T21" s="31"/>
      <c r="U21" s="30"/>
      <c r="V21" s="30"/>
      <c r="W21" s="30"/>
      <c r="X21" s="30"/>
      <c r="Y21" s="21"/>
      <c r="Z21" s="21"/>
      <c r="AA21" s="21"/>
      <c r="AB21" s="21"/>
    </row>
    <row r="22" spans="1:28" s="3" customFormat="1" ht="11.25" customHeight="1" x14ac:dyDescent="0.15">
      <c r="A22" s="3">
        <v>9</v>
      </c>
      <c r="B22" s="20"/>
      <c r="D22" s="32"/>
      <c r="J22" s="22"/>
      <c r="K22" s="22"/>
      <c r="L22" s="22"/>
      <c r="M22" s="22"/>
      <c r="N22" s="3">
        <v>12</v>
      </c>
      <c r="O22" s="3">
        <v>12</v>
      </c>
      <c r="P22" s="33"/>
      <c r="Q22" s="34"/>
      <c r="R22" s="35"/>
      <c r="S22" s="27"/>
      <c r="T22" s="27"/>
      <c r="U22" s="30"/>
      <c r="V22" s="30"/>
      <c r="W22" s="30"/>
      <c r="X22" s="30"/>
      <c r="Y22" s="21"/>
      <c r="Z22" s="36"/>
      <c r="AA22" s="21"/>
      <c r="AB22" s="21"/>
    </row>
    <row r="23" spans="1:28" s="3" customFormat="1" ht="11.25" customHeight="1" x14ac:dyDescent="0.15">
      <c r="A23" s="37">
        <v>10</v>
      </c>
      <c r="B23" s="38"/>
      <c r="C23" s="37"/>
      <c r="D23" s="38"/>
      <c r="E23" s="37"/>
      <c r="F23" s="38"/>
      <c r="G23" s="38"/>
      <c r="H23" s="38"/>
      <c r="I23" s="38"/>
      <c r="J23" s="39"/>
      <c r="K23" s="39"/>
      <c r="L23" s="39"/>
      <c r="M23" s="39"/>
      <c r="N23" s="38">
        <v>6</v>
      </c>
      <c r="O23" s="38">
        <v>6</v>
      </c>
      <c r="P23" s="33"/>
      <c r="Q23" s="34"/>
      <c r="R23" s="34"/>
      <c r="S23" s="27"/>
      <c r="T23" s="27"/>
      <c r="U23" s="30"/>
      <c r="V23" s="30"/>
      <c r="W23" s="30"/>
      <c r="X23" s="30"/>
      <c r="Y23" s="21"/>
      <c r="Z23" s="21"/>
      <c r="AA23" s="21"/>
      <c r="AB23" s="21"/>
    </row>
    <row r="24" spans="1:28" x14ac:dyDescent="0.15">
      <c r="A24" s="40"/>
      <c r="B24" s="41"/>
      <c r="C24" s="40"/>
      <c r="D24" s="41"/>
      <c r="E24" s="40"/>
      <c r="F24" s="41"/>
      <c r="G24" s="40"/>
      <c r="H24" s="41"/>
      <c r="I24" s="40"/>
      <c r="J24" s="41"/>
      <c r="K24" s="40"/>
      <c r="L24" s="41"/>
      <c r="M24" s="40"/>
      <c r="N24" s="40">
        <v>14</v>
      </c>
      <c r="O24" s="41">
        <v>15</v>
      </c>
      <c r="P24" s="40"/>
      <c r="Q24" s="40"/>
      <c r="R24" s="34"/>
      <c r="S24" s="27"/>
      <c r="T24" s="27"/>
      <c r="U24" s="30"/>
      <c r="V24" s="30"/>
      <c r="W24" s="30"/>
      <c r="X24" s="30"/>
      <c r="Y24" s="3"/>
      <c r="Z24" s="3"/>
      <c r="AA24" s="25"/>
      <c r="AB24" s="25"/>
    </row>
    <row r="25" spans="1:28" ht="12" thickBot="1" x14ac:dyDescent="0.2">
      <c r="A25" s="3"/>
      <c r="B25" s="16" t="s">
        <v>29</v>
      </c>
      <c r="C25" s="16" t="s">
        <v>30</v>
      </c>
      <c r="D25" s="16" t="s">
        <v>31</v>
      </c>
      <c r="E25" s="16"/>
      <c r="F25" s="16" t="s">
        <v>32</v>
      </c>
      <c r="G25" s="16"/>
      <c r="H25" s="16" t="s">
        <v>33</v>
      </c>
      <c r="I25" s="104" t="s">
        <v>34</v>
      </c>
      <c r="J25" s="104"/>
      <c r="K25" s="104" t="s">
        <v>35</v>
      </c>
      <c r="L25" s="104"/>
      <c r="M25" s="104"/>
      <c r="N25" s="3"/>
      <c r="O25" s="3"/>
      <c r="P25" s="33"/>
      <c r="Q25" s="34"/>
      <c r="R25" s="34"/>
      <c r="S25" s="27"/>
      <c r="T25" s="27"/>
      <c r="U25" s="27"/>
      <c r="V25" s="27"/>
      <c r="W25" s="27"/>
      <c r="X25" s="27"/>
      <c r="Y25" s="3"/>
      <c r="Z25" s="3"/>
      <c r="AB25" s="9"/>
    </row>
    <row r="26" spans="1:28" ht="12" thickTop="1" x14ac:dyDescent="0.15">
      <c r="A26" s="3"/>
      <c r="B26" s="21" t="s">
        <v>51</v>
      </c>
      <c r="C26" s="42">
        <v>223</v>
      </c>
      <c r="D26" s="21">
        <v>16</v>
      </c>
      <c r="E26" s="3">
        <v>7.1748878923766815E-2</v>
      </c>
      <c r="F26" s="43">
        <v>446</v>
      </c>
      <c r="G26" s="3"/>
      <c r="H26" s="44">
        <v>3.5874439461883409</v>
      </c>
      <c r="I26" s="108"/>
      <c r="J26" s="108"/>
      <c r="K26" s="101"/>
      <c r="L26" s="101"/>
      <c r="M26" s="101"/>
      <c r="P26" s="33"/>
      <c r="Q26" s="34"/>
      <c r="R26" s="34"/>
      <c r="S26" s="27"/>
      <c r="T26" s="27"/>
      <c r="U26" s="27"/>
      <c r="V26" s="27"/>
      <c r="W26" s="27"/>
      <c r="X26" s="27"/>
      <c r="Y26" s="3"/>
      <c r="Z26" s="3"/>
      <c r="AB26" s="9"/>
    </row>
    <row r="27" spans="1:28" x14ac:dyDescent="0.15">
      <c r="A27" s="3"/>
      <c r="B27" s="21"/>
      <c r="C27" s="42"/>
      <c r="D27" s="21"/>
      <c r="E27" s="3"/>
      <c r="F27" s="43"/>
      <c r="G27" s="3"/>
      <c r="H27" s="44"/>
      <c r="I27" s="108"/>
      <c r="J27" s="108"/>
      <c r="K27" s="101"/>
      <c r="L27" s="101"/>
      <c r="M27" s="101"/>
      <c r="P27" s="45"/>
      <c r="Q27" s="34"/>
      <c r="R27" s="34"/>
      <c r="S27" s="27"/>
      <c r="T27" s="27"/>
      <c r="U27" s="27"/>
      <c r="V27" s="27"/>
      <c r="W27" s="27"/>
      <c r="X27" s="27"/>
      <c r="Y27" s="3"/>
      <c r="Z27" s="3"/>
    </row>
    <row r="28" spans="1:28" x14ac:dyDescent="0.15">
      <c r="B28" s="21"/>
      <c r="C28" s="42"/>
      <c r="D28" s="46"/>
      <c r="E28" s="37"/>
      <c r="F28" s="47"/>
      <c r="G28" s="37"/>
      <c r="H28" s="48"/>
      <c r="I28" s="108"/>
      <c r="J28" s="108"/>
      <c r="K28" s="101"/>
      <c r="L28" s="101"/>
      <c r="M28" s="101"/>
      <c r="N28" s="3"/>
      <c r="O28" s="3"/>
      <c r="P28" s="33"/>
      <c r="Q28" s="34"/>
      <c r="R28" s="34"/>
      <c r="S28" s="27"/>
      <c r="T28" s="49"/>
      <c r="U28" s="27"/>
      <c r="V28" s="27"/>
      <c r="W28" s="27"/>
      <c r="X28" s="27"/>
      <c r="Y28" s="3"/>
      <c r="Z28" s="3"/>
    </row>
    <row r="29" spans="1:28" ht="12" thickBot="1" x14ac:dyDescent="0.2">
      <c r="B29" s="16" t="s">
        <v>29</v>
      </c>
      <c r="C29" s="16" t="s">
        <v>36</v>
      </c>
      <c r="D29" s="16" t="s">
        <v>37</v>
      </c>
      <c r="E29" s="16"/>
      <c r="F29" s="16" t="s">
        <v>38</v>
      </c>
      <c r="G29" s="16"/>
      <c r="H29" s="16" t="s">
        <v>39</v>
      </c>
      <c r="I29" s="16" t="s">
        <v>40</v>
      </c>
      <c r="J29" s="104" t="s">
        <v>41</v>
      </c>
      <c r="K29" s="104"/>
      <c r="L29" s="104"/>
      <c r="M29" s="104"/>
      <c r="P29" s="33"/>
      <c r="Q29" s="34"/>
      <c r="R29" s="34"/>
      <c r="S29" s="27"/>
      <c r="T29" s="27"/>
      <c r="U29" s="27"/>
      <c r="V29" s="27"/>
      <c r="W29" s="27"/>
      <c r="X29" s="27"/>
      <c r="Y29" s="3"/>
      <c r="Z29" s="3"/>
    </row>
    <row r="30" spans="1:28" ht="14.25" customHeight="1" thickTop="1" x14ac:dyDescent="0.15">
      <c r="B30" s="7" t="s">
        <v>52</v>
      </c>
      <c r="D30" s="50">
        <v>123</v>
      </c>
      <c r="E30" s="50"/>
      <c r="F30" s="50"/>
      <c r="J30" s="103"/>
      <c r="K30" s="103"/>
      <c r="L30" s="103"/>
      <c r="M30" s="103"/>
      <c r="P30" s="45"/>
      <c r="Q30" s="34"/>
      <c r="R30" s="34"/>
      <c r="S30" s="27"/>
      <c r="T30" s="27"/>
      <c r="U30" s="27"/>
      <c r="V30" s="27"/>
      <c r="W30" s="27"/>
      <c r="X30" s="27"/>
      <c r="Y30" s="3"/>
      <c r="Z30" s="3"/>
    </row>
    <row r="31" spans="1:28" ht="14.25" customHeight="1" x14ac:dyDescent="0.15">
      <c r="D31" s="3"/>
      <c r="J31" s="101"/>
      <c r="K31" s="101"/>
      <c r="L31" s="101"/>
      <c r="M31" s="101"/>
      <c r="N31" s="3"/>
      <c r="O31" s="3"/>
      <c r="P31" s="51"/>
      <c r="Q31" s="52"/>
      <c r="R31" s="52"/>
      <c r="S31" s="3"/>
      <c r="T31" s="3"/>
      <c r="U31" s="3"/>
      <c r="V31" s="3"/>
      <c r="W31" s="3"/>
      <c r="X31" s="3"/>
      <c r="Y31" s="3"/>
      <c r="Z31" s="3"/>
    </row>
    <row r="32" spans="1:28" ht="14.25" customHeight="1" x14ac:dyDescent="0.15">
      <c r="A32" s="53"/>
      <c r="B32" s="37"/>
      <c r="C32" s="37"/>
      <c r="D32" s="37"/>
      <c r="E32" s="54"/>
      <c r="F32" s="54"/>
      <c r="G32" s="37"/>
      <c r="H32" s="37"/>
      <c r="I32" s="37"/>
      <c r="J32" s="102"/>
      <c r="K32" s="102"/>
      <c r="L32" s="102"/>
      <c r="M32" s="102"/>
      <c r="P32" s="51"/>
      <c r="Q32" s="52"/>
      <c r="R32" s="52"/>
      <c r="S32" s="3"/>
      <c r="T32" s="3"/>
      <c r="U32" s="3"/>
      <c r="V32" s="3"/>
      <c r="W32" s="3"/>
      <c r="X32" s="3"/>
      <c r="Y32" s="3"/>
      <c r="Z32" s="3"/>
    </row>
    <row r="33" spans="1:26" ht="12" thickBot="1" x14ac:dyDescent="0.2">
      <c r="B33" s="55" t="s">
        <v>42</v>
      </c>
      <c r="C33" s="46"/>
      <c r="D33" s="46"/>
      <c r="E33" s="37"/>
      <c r="F33" s="37"/>
      <c r="G33" s="37"/>
      <c r="H33" s="37"/>
      <c r="I33" s="37"/>
      <c r="J33" s="37"/>
      <c r="K33" s="56"/>
      <c r="L33" s="3"/>
      <c r="P33" s="57"/>
      <c r="Q33" s="52"/>
      <c r="R33" s="58"/>
      <c r="S33" s="3"/>
      <c r="T33" s="3"/>
      <c r="U33" s="3"/>
      <c r="V33" s="3"/>
      <c r="W33" s="3"/>
      <c r="X33" s="3"/>
      <c r="Y33" s="3"/>
      <c r="Z33" s="3"/>
    </row>
    <row r="34" spans="1:26" ht="12" thickBot="1" x14ac:dyDescent="0.2">
      <c r="A34" s="27"/>
      <c r="B34" s="59" t="s">
        <v>43</v>
      </c>
      <c r="C34" s="60" t="s">
        <v>44</v>
      </c>
      <c r="D34" s="16" t="s">
        <v>45</v>
      </c>
      <c r="E34" s="16"/>
      <c r="F34" s="16"/>
      <c r="G34" s="16"/>
      <c r="H34" s="16" t="s">
        <v>46</v>
      </c>
      <c r="I34" s="16"/>
      <c r="J34" s="16" t="s">
        <v>47</v>
      </c>
      <c r="K34" s="16"/>
      <c r="L34" s="16"/>
      <c r="M34" s="16"/>
      <c r="P34" s="61"/>
      <c r="Q34" s="62"/>
      <c r="R34" s="52"/>
      <c r="S34" s="3"/>
      <c r="T34" s="3"/>
      <c r="U34" s="3"/>
      <c r="V34" s="3"/>
      <c r="W34" s="3"/>
      <c r="X34" s="3"/>
      <c r="Y34" s="3"/>
      <c r="Z34" s="3"/>
    </row>
    <row r="35" spans="1:26" ht="12" thickTop="1" x14ac:dyDescent="0.15">
      <c r="B35" s="100"/>
      <c r="C35" s="63"/>
      <c r="D35" s="64"/>
      <c r="E35" s="50"/>
      <c r="F35" s="64"/>
      <c r="G35" s="50"/>
      <c r="H35" s="65"/>
      <c r="I35" s="50"/>
      <c r="J35" s="66"/>
      <c r="K35" s="50"/>
      <c r="L35" s="50"/>
      <c r="M35" s="50"/>
      <c r="P35" s="67"/>
      <c r="Q35" s="68"/>
      <c r="R35" s="52"/>
      <c r="S35" s="3"/>
      <c r="T35" s="3"/>
      <c r="U35" s="3"/>
      <c r="V35" s="3"/>
      <c r="W35" s="3"/>
      <c r="X35" s="3"/>
      <c r="Y35" s="3"/>
      <c r="Z35" s="3"/>
    </row>
    <row r="36" spans="1:26" x14ac:dyDescent="0.15">
      <c r="B36" s="4"/>
      <c r="C36" s="36"/>
      <c r="D36" s="20"/>
      <c r="E36" s="3"/>
      <c r="F36" s="20"/>
      <c r="G36" s="3"/>
      <c r="H36" s="72"/>
      <c r="I36" s="3"/>
      <c r="J36" s="69"/>
      <c r="K36" s="3"/>
      <c r="L36" s="3"/>
      <c r="M36" s="3"/>
      <c r="P36" s="70"/>
      <c r="Q36" s="71"/>
      <c r="R36" s="52"/>
      <c r="S36" s="3"/>
      <c r="T36" s="3"/>
      <c r="U36" s="3"/>
      <c r="V36" s="4"/>
      <c r="W36" s="4"/>
      <c r="X36" s="3"/>
      <c r="Y36" s="3"/>
      <c r="Z36" s="3"/>
    </row>
    <row r="37" spans="1:26" x14ac:dyDescent="0.15">
      <c r="B37" s="4"/>
      <c r="C37" s="36"/>
      <c r="D37" s="20"/>
      <c r="E37" s="3"/>
      <c r="F37" s="3"/>
      <c r="G37" s="3"/>
      <c r="H37" s="72"/>
      <c r="I37" s="3"/>
      <c r="J37" s="69"/>
      <c r="K37" s="3"/>
      <c r="L37" s="3"/>
      <c r="M37" s="3"/>
      <c r="P37" s="67"/>
      <c r="Q37" s="71"/>
      <c r="R37" s="52"/>
      <c r="S37" s="3"/>
      <c r="T37" s="3"/>
      <c r="U37" s="3"/>
      <c r="V37" s="3"/>
      <c r="W37" s="3"/>
      <c r="X37" s="3"/>
      <c r="Y37" s="3"/>
      <c r="Z37" s="3"/>
    </row>
    <row r="38" spans="1:26" x14ac:dyDescent="0.15">
      <c r="B38" s="4"/>
      <c r="C38" s="36"/>
      <c r="D38" s="20"/>
      <c r="E38" s="36"/>
      <c r="F38" s="3"/>
      <c r="G38" s="3"/>
      <c r="H38" s="72"/>
      <c r="I38" s="3"/>
      <c r="J38" s="69"/>
      <c r="K38" s="3"/>
      <c r="L38" s="3"/>
      <c r="M38" s="3"/>
      <c r="P38" s="67"/>
      <c r="Q38" s="71"/>
      <c r="R38" s="52"/>
      <c r="S38" s="3"/>
      <c r="T38" s="3"/>
      <c r="U38" s="3"/>
      <c r="V38" s="3"/>
      <c r="W38" s="3"/>
      <c r="X38" s="3"/>
      <c r="Y38" s="3"/>
      <c r="Z38" s="3"/>
    </row>
    <row r="39" spans="1:26" x14ac:dyDescent="0.15">
      <c r="B39" s="4"/>
      <c r="C39" s="36"/>
      <c r="D39" s="20"/>
      <c r="E39" s="36"/>
      <c r="F39" s="3"/>
      <c r="G39" s="3"/>
      <c r="H39" s="72"/>
      <c r="I39" s="3"/>
      <c r="J39" s="69"/>
      <c r="K39" s="3"/>
      <c r="L39" s="3"/>
      <c r="M39" s="3"/>
      <c r="P39" s="70"/>
      <c r="Q39" s="71"/>
      <c r="R39" s="52"/>
      <c r="S39" s="3"/>
      <c r="T39" s="3"/>
      <c r="U39" s="3"/>
      <c r="V39" s="3"/>
      <c r="W39" s="3"/>
      <c r="X39" s="3"/>
      <c r="Y39" s="3"/>
      <c r="Z39" s="3"/>
    </row>
    <row r="40" spans="1:26" x14ac:dyDescent="0.15">
      <c r="B40" s="4"/>
      <c r="C40" s="36"/>
      <c r="D40" s="20"/>
      <c r="E40" s="3"/>
      <c r="F40" s="3"/>
      <c r="G40" s="3"/>
      <c r="H40" s="72"/>
      <c r="I40" s="3"/>
      <c r="J40" s="69"/>
      <c r="K40" s="3"/>
      <c r="L40" s="3"/>
      <c r="M40" s="3"/>
      <c r="P40" s="67"/>
      <c r="Q40" s="71"/>
      <c r="R40" s="58"/>
      <c r="S40" s="3"/>
      <c r="T40" s="3"/>
      <c r="U40" s="3"/>
      <c r="V40" s="3"/>
      <c r="W40" s="3"/>
      <c r="X40" s="3"/>
      <c r="Y40" s="3"/>
      <c r="Z40" s="3"/>
    </row>
    <row r="41" spans="1:26" x14ac:dyDescent="0.15">
      <c r="B41" s="4"/>
      <c r="C41" s="36"/>
      <c r="D41" s="20"/>
      <c r="E41" s="3"/>
      <c r="F41" s="3"/>
      <c r="G41" s="3"/>
      <c r="H41" s="72"/>
      <c r="I41" s="3"/>
      <c r="J41" s="69"/>
      <c r="K41" s="3"/>
      <c r="L41" s="21"/>
      <c r="M41" s="3"/>
      <c r="N41" s="7">
        <v>14</v>
      </c>
      <c r="P41" s="67"/>
      <c r="Q41" s="71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15">
      <c r="B42" s="4"/>
      <c r="C42" s="36"/>
      <c r="D42" s="20"/>
      <c r="E42" s="3"/>
      <c r="F42" s="3"/>
      <c r="G42" s="3"/>
      <c r="H42" s="72"/>
      <c r="I42" s="3"/>
      <c r="J42" s="69"/>
      <c r="K42" s="3"/>
      <c r="L42" s="3"/>
      <c r="M42" s="3"/>
      <c r="P42" s="70"/>
      <c r="Q42" s="71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15">
      <c r="B43" s="4"/>
      <c r="C43" s="36"/>
      <c r="D43" s="20"/>
      <c r="E43" s="3"/>
      <c r="F43" s="3"/>
      <c r="G43" s="3"/>
      <c r="H43" s="72"/>
      <c r="I43" s="3"/>
      <c r="J43" s="69"/>
      <c r="K43" s="3"/>
      <c r="L43" s="3"/>
      <c r="M43" s="3"/>
      <c r="P43" s="67"/>
      <c r="Q43" s="71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15">
      <c r="B44" s="4"/>
      <c r="C44" s="36"/>
      <c r="D44" s="20"/>
      <c r="E44" s="3"/>
      <c r="F44" s="3"/>
      <c r="G44" s="3"/>
      <c r="H44" s="72"/>
      <c r="I44" s="3"/>
      <c r="J44" s="69"/>
      <c r="K44" s="3"/>
      <c r="L44" s="3"/>
      <c r="M44" s="3"/>
      <c r="P44" s="67"/>
      <c r="Q44" s="71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15">
      <c r="A45" s="3"/>
      <c r="B45" s="4"/>
      <c r="C45" s="36"/>
      <c r="D45" s="20"/>
      <c r="E45" s="3"/>
      <c r="F45" s="3"/>
      <c r="G45" s="3"/>
      <c r="H45" s="72"/>
      <c r="I45" s="3"/>
      <c r="J45" s="69"/>
      <c r="K45" s="3"/>
      <c r="L45" s="3"/>
      <c r="M45" s="3"/>
      <c r="P45" s="70"/>
      <c r="Q45" s="71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15">
      <c r="A46" s="3"/>
      <c r="B46" s="4"/>
      <c r="C46" s="36"/>
      <c r="D46" s="20"/>
      <c r="E46" s="3"/>
      <c r="F46" s="3"/>
      <c r="G46" s="3"/>
      <c r="H46" s="72"/>
      <c r="I46" s="3"/>
      <c r="J46" s="69"/>
      <c r="K46" s="3"/>
      <c r="L46" s="3"/>
      <c r="M46" s="3"/>
      <c r="P46" s="67"/>
      <c r="Q46" s="71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15">
      <c r="A47" s="3"/>
      <c r="B47" s="4"/>
      <c r="C47" s="36"/>
      <c r="D47" s="20"/>
      <c r="E47" s="3"/>
      <c r="F47" s="3"/>
      <c r="G47" s="3"/>
      <c r="H47" s="72"/>
      <c r="I47" s="3"/>
      <c r="J47" s="69"/>
      <c r="K47" s="3"/>
      <c r="L47" s="3"/>
      <c r="M47" s="3"/>
      <c r="P47" s="67"/>
      <c r="Q47" s="71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15">
      <c r="A48" s="3"/>
      <c r="B48" s="4"/>
      <c r="C48" s="36"/>
      <c r="D48" s="20"/>
      <c r="E48" s="3"/>
      <c r="F48" s="3"/>
      <c r="G48" s="3"/>
      <c r="H48" s="72"/>
      <c r="I48" s="3"/>
      <c r="J48" s="69"/>
      <c r="K48" s="3"/>
      <c r="L48" s="3"/>
      <c r="M48" s="3"/>
      <c r="N48" s="3"/>
      <c r="O48" s="3"/>
      <c r="P48" s="70"/>
      <c r="Q48" s="71"/>
      <c r="R48" s="3"/>
      <c r="S48" s="3"/>
      <c r="T48" s="3"/>
      <c r="U48" s="3"/>
      <c r="V48" s="3"/>
      <c r="W48" s="3"/>
      <c r="X48" s="3"/>
      <c r="Y48" s="3"/>
      <c r="Z48" s="3"/>
    </row>
    <row r="49" spans="1:26" ht="12" thickBot="1" x14ac:dyDescent="0.2">
      <c r="A49" s="3"/>
      <c r="B49" s="4"/>
      <c r="C49" s="36"/>
      <c r="D49" s="20"/>
      <c r="E49" s="3"/>
      <c r="F49" s="3"/>
      <c r="G49" s="3"/>
      <c r="H49" s="72"/>
      <c r="I49" s="3"/>
      <c r="J49" s="69"/>
      <c r="K49" s="3"/>
      <c r="L49" s="3"/>
      <c r="M49" s="3"/>
      <c r="P49" s="67"/>
      <c r="Q49" s="71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15">
      <c r="A50" s="3"/>
      <c r="B50" s="4"/>
      <c r="C50" s="36"/>
      <c r="D50" s="20"/>
      <c r="E50" s="3"/>
      <c r="F50" s="3"/>
      <c r="G50" s="3"/>
      <c r="H50" s="72"/>
      <c r="I50" s="3"/>
      <c r="J50" s="69"/>
      <c r="K50" s="3"/>
      <c r="L50" s="3"/>
      <c r="M50" s="3"/>
      <c r="O50" s="73"/>
      <c r="P50" s="67"/>
      <c r="Q50" s="71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15">
      <c r="A51" s="3"/>
      <c r="B51" s="4"/>
      <c r="C51" s="36"/>
      <c r="D51" s="3"/>
      <c r="E51" s="3"/>
      <c r="F51" s="3"/>
      <c r="G51" s="3"/>
      <c r="H51" s="3"/>
      <c r="I51" s="3"/>
      <c r="J51" s="3"/>
      <c r="K51" s="3"/>
      <c r="L51" s="3"/>
      <c r="M51" s="3"/>
      <c r="O51" s="19"/>
      <c r="P51" s="70"/>
      <c r="Q51" s="71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15">
      <c r="A52" s="3"/>
      <c r="B52" s="4"/>
      <c r="C52" s="36"/>
      <c r="D52" s="3"/>
      <c r="E52" s="3"/>
      <c r="F52" s="3"/>
      <c r="G52" s="3"/>
      <c r="H52" s="3"/>
      <c r="I52" s="3"/>
      <c r="J52" s="3"/>
      <c r="K52" s="3"/>
      <c r="L52" s="3"/>
      <c r="M52" s="3"/>
      <c r="O52" s="19"/>
      <c r="P52" s="67"/>
      <c r="Q52" s="71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x14ac:dyDescent="0.15">
      <c r="A53" s="3"/>
      <c r="B53" s="74"/>
      <c r="C53" s="36"/>
      <c r="D53" s="3"/>
      <c r="E53" s="3"/>
      <c r="F53" s="3"/>
      <c r="G53" s="3"/>
      <c r="H53" s="3"/>
      <c r="I53" s="3"/>
      <c r="J53" s="3"/>
      <c r="K53" s="3"/>
      <c r="L53" s="3"/>
      <c r="M53" s="3"/>
      <c r="O53" s="19"/>
      <c r="P53" s="67"/>
      <c r="Q53" s="71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15">
      <c r="B54" s="4"/>
      <c r="C54" s="75"/>
      <c r="D54" s="3"/>
      <c r="E54" s="3"/>
      <c r="F54" s="3"/>
      <c r="G54" s="3"/>
      <c r="H54" s="3"/>
      <c r="I54" s="3"/>
      <c r="J54" s="3"/>
      <c r="K54" s="3"/>
      <c r="L54" s="3"/>
      <c r="M54" s="3"/>
      <c r="O54" s="19"/>
      <c r="P54" s="70"/>
      <c r="Q54" s="71"/>
      <c r="R54" s="27"/>
      <c r="S54" s="27"/>
      <c r="T54" s="27"/>
      <c r="U54" s="3"/>
      <c r="V54" s="3"/>
      <c r="W54" s="3"/>
      <c r="X54" s="3"/>
      <c r="Y54" s="3"/>
      <c r="Z54" s="3"/>
    </row>
    <row r="55" spans="1:26" ht="13.5" x14ac:dyDescent="0.15">
      <c r="B55" s="4"/>
      <c r="C55" s="36"/>
      <c r="D55" s="3"/>
      <c r="E55" s="3"/>
      <c r="F55" s="3"/>
      <c r="G55" s="3"/>
      <c r="H55" s="3"/>
      <c r="I55" s="3"/>
      <c r="J55" s="76"/>
      <c r="K55" s="3"/>
      <c r="L55" s="3"/>
      <c r="M55" s="3"/>
      <c r="O55" s="19"/>
      <c r="P55" s="67"/>
      <c r="Q55" s="71"/>
      <c r="R55" s="27"/>
      <c r="S55" s="27"/>
      <c r="T55" s="27"/>
      <c r="U55" s="3"/>
      <c r="V55" s="3"/>
      <c r="W55" s="3"/>
      <c r="X55" s="3"/>
      <c r="Y55" s="3"/>
      <c r="Z55" s="3"/>
    </row>
    <row r="56" spans="1:26" ht="12" thickBot="1" x14ac:dyDescent="0.2">
      <c r="B56" s="77"/>
      <c r="C56" s="78"/>
      <c r="D56" s="38"/>
      <c r="E56" s="37"/>
      <c r="F56" s="37"/>
      <c r="G56" s="37"/>
      <c r="H56" s="79"/>
      <c r="I56" s="37"/>
      <c r="J56" s="80"/>
      <c r="K56" s="37"/>
      <c r="L56" s="37"/>
      <c r="M56" s="37"/>
      <c r="O56" s="19"/>
      <c r="P56" s="81"/>
      <c r="Q56" s="82"/>
      <c r="R56" s="27"/>
      <c r="S56" s="27"/>
      <c r="T56" s="27"/>
      <c r="U56" s="3"/>
      <c r="V56" s="3"/>
      <c r="W56" s="3"/>
      <c r="X56" s="3"/>
      <c r="Y56" s="3"/>
      <c r="Z56" s="3"/>
    </row>
    <row r="57" spans="1:26" x14ac:dyDescent="0.15">
      <c r="O57" s="19"/>
      <c r="P57" s="45"/>
      <c r="Q57" s="27"/>
      <c r="R57" s="27"/>
      <c r="S57" s="27"/>
      <c r="T57" s="27"/>
      <c r="U57" s="3"/>
      <c r="V57" s="3"/>
      <c r="W57" s="3"/>
      <c r="X57" s="3"/>
      <c r="Y57" s="3"/>
      <c r="Z57" s="3"/>
    </row>
    <row r="58" spans="1:26" ht="12" thickBot="1" x14ac:dyDescent="0.2">
      <c r="O58" s="83"/>
      <c r="P58" s="33"/>
      <c r="Q58" s="27"/>
      <c r="R58" s="27"/>
      <c r="S58" s="27"/>
      <c r="T58" s="27"/>
      <c r="U58" s="3"/>
      <c r="V58" s="3"/>
      <c r="W58" s="3"/>
      <c r="X58" s="3"/>
      <c r="Y58" s="3"/>
      <c r="Z58" s="3"/>
    </row>
    <row r="59" spans="1:26" x14ac:dyDescent="0.15">
      <c r="P59" s="33"/>
      <c r="Q59" s="27"/>
      <c r="R59" s="27"/>
      <c r="S59" s="27"/>
      <c r="T59" s="27"/>
      <c r="U59" s="3"/>
      <c r="V59" s="3"/>
      <c r="W59" s="3"/>
      <c r="X59" s="3"/>
      <c r="Y59" s="3"/>
      <c r="Z59" s="3"/>
    </row>
    <row r="60" spans="1:26" x14ac:dyDescent="0.15">
      <c r="P60" s="45"/>
      <c r="Q60" s="27"/>
      <c r="R60" s="27"/>
      <c r="S60" s="27"/>
      <c r="T60" s="27"/>
      <c r="U60" s="3"/>
      <c r="V60" s="3"/>
      <c r="W60" s="3"/>
      <c r="X60" s="3"/>
      <c r="Y60" s="3"/>
      <c r="Z60" s="3"/>
    </row>
    <row r="61" spans="1:26" x14ac:dyDescent="0.15">
      <c r="K61" s="3"/>
      <c r="P61" s="33"/>
      <c r="Q61" s="27"/>
      <c r="R61" s="27"/>
      <c r="S61" s="27"/>
      <c r="T61" s="27"/>
      <c r="U61" s="3"/>
      <c r="V61" s="3"/>
      <c r="W61" s="3"/>
      <c r="X61" s="3"/>
      <c r="Y61" s="3"/>
      <c r="Z61" s="3"/>
    </row>
    <row r="62" spans="1:26" ht="13.5" x14ac:dyDescent="0.15">
      <c r="P62" s="27"/>
      <c r="Q62" s="27"/>
      <c r="R62" s="27"/>
      <c r="S62" s="27"/>
      <c r="T62" s="84"/>
      <c r="U62" s="3"/>
      <c r="V62" s="3"/>
      <c r="W62" s="3"/>
      <c r="X62" s="3"/>
      <c r="Y62" s="3"/>
      <c r="Z62" s="3"/>
    </row>
    <row r="63" spans="1:26" x14ac:dyDescent="0.15">
      <c r="A63" s="3"/>
      <c r="G63" s="3"/>
      <c r="H63" s="3"/>
      <c r="I63" s="3"/>
    </row>
    <row r="74" spans="27:28" x14ac:dyDescent="0.15">
      <c r="AA74" s="85"/>
      <c r="AB74" s="85"/>
    </row>
  </sheetData>
  <dataConsolidate/>
  <mergeCells count="14">
    <mergeCell ref="J31:M31"/>
    <mergeCell ref="J32:M32"/>
    <mergeCell ref="J30:M30"/>
    <mergeCell ref="J29:M29"/>
    <mergeCell ref="C3:M3"/>
    <mergeCell ref="I28:J28"/>
    <mergeCell ref="K28:M28"/>
    <mergeCell ref="I26:J26"/>
    <mergeCell ref="K26:M26"/>
    <mergeCell ref="I27:J27"/>
    <mergeCell ref="K27:M27"/>
    <mergeCell ref="K13:L13"/>
    <mergeCell ref="I25:J25"/>
    <mergeCell ref="K25:M25"/>
  </mergeCells>
  <phoneticPr fontId="1"/>
  <dataValidations disablePrompts="1" count="3">
    <dataValidation type="list" allowBlank="1" showInputMessage="1" showErrorMessage="1" sqref="E46 G46" xr:uid="{00000000-0002-0000-0000-000000000000}">
      <formula1>$A$14:$A$23</formula1>
    </dataValidation>
    <dataValidation allowBlank="1" showInputMessage="1" sqref="H35:H50 D56 H56 D48:D50" xr:uid="{00000000-0002-0000-0000-000001000000}"/>
    <dataValidation type="list" allowBlank="1" showInputMessage="1" showErrorMessage="1" sqref="L14:L23" xr:uid="{00000000-0002-0000-0000-000002000000}">
      <formula1>"μl,ml"</formula1>
    </dataValidation>
  </dataValidations>
  <pageMargins left="0.2" right="0.2" top="0.23" bottom="0.2" header="0.2" footer="0.2"/>
  <pageSetup paperSize="13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ISISServer" shapeId="12327" r:id="rId4">
          <objectPr defaultSize="0" autoPict="0" r:id="rId5">
            <anchor moveWithCells="1">
              <from>
                <xdr:col>1</xdr:col>
                <xdr:colOff>638175</xdr:colOff>
                <xdr:row>3</xdr:row>
                <xdr:rowOff>38100</xdr:rowOff>
              </from>
              <to>
                <xdr:col>10</xdr:col>
                <xdr:colOff>552450</xdr:colOff>
                <xdr:row>11</xdr:row>
                <xdr:rowOff>38100</xdr:rowOff>
              </to>
            </anchor>
          </objectPr>
        </oleObject>
      </mc:Choice>
      <mc:Fallback>
        <oleObject progId="ISISServer" shapeId="12327" r:id="rId4"/>
      </mc:Fallback>
    </mc:AlternateContent>
  </oleObjects>
  <controls>
    <mc:AlternateContent xmlns:mc="http://schemas.openxmlformats.org/markup-compatibility/2006">
      <mc:Choice Requires="x14">
        <control shapeId="12324" r:id="rId6" name="CheckBox9">
          <controlPr autoLine="0" r:id="rId7">
            <anchor moveWithCells="1">
              <from>
                <xdr:col>8</xdr:col>
                <xdr:colOff>57150</xdr:colOff>
                <xdr:row>31</xdr:row>
                <xdr:rowOff>9525</xdr:rowOff>
              </from>
              <to>
                <xdr:col>8</xdr:col>
                <xdr:colOff>200025</xdr:colOff>
                <xdr:row>31</xdr:row>
                <xdr:rowOff>171450</xdr:rowOff>
              </to>
            </anchor>
          </controlPr>
        </control>
      </mc:Choice>
      <mc:Fallback>
        <control shapeId="12324" r:id="rId6" name="CheckBox9"/>
      </mc:Fallback>
    </mc:AlternateContent>
    <mc:AlternateContent xmlns:mc="http://schemas.openxmlformats.org/markup-compatibility/2006">
      <mc:Choice Requires="x14">
        <control shapeId="12323" r:id="rId8" name="CheckBox8">
          <controlPr autoLine="0" r:id="rId7">
            <anchor moveWithCells="1">
              <from>
                <xdr:col>8</xdr:col>
                <xdr:colOff>57150</xdr:colOff>
                <xdr:row>30</xdr:row>
                <xdr:rowOff>9525</xdr:rowOff>
              </from>
              <to>
                <xdr:col>8</xdr:col>
                <xdr:colOff>200025</xdr:colOff>
                <xdr:row>30</xdr:row>
                <xdr:rowOff>171450</xdr:rowOff>
              </to>
            </anchor>
          </controlPr>
        </control>
      </mc:Choice>
      <mc:Fallback>
        <control shapeId="12323" r:id="rId8" name="CheckBox8"/>
      </mc:Fallback>
    </mc:AlternateContent>
    <mc:AlternateContent xmlns:mc="http://schemas.openxmlformats.org/markup-compatibility/2006">
      <mc:Choice Requires="x14">
        <control shapeId="12322" r:id="rId9" name="CheckBox7">
          <controlPr autoLine="0" r:id="rId7">
            <anchor moveWithCells="1">
              <from>
                <xdr:col>8</xdr:col>
                <xdr:colOff>57150</xdr:colOff>
                <xdr:row>29</xdr:row>
                <xdr:rowOff>19050</xdr:rowOff>
              </from>
              <to>
                <xdr:col>8</xdr:col>
                <xdr:colOff>200025</xdr:colOff>
                <xdr:row>30</xdr:row>
                <xdr:rowOff>0</xdr:rowOff>
              </to>
            </anchor>
          </controlPr>
        </control>
      </mc:Choice>
      <mc:Fallback>
        <control shapeId="12322" r:id="rId9" name="CheckBox7"/>
      </mc:Fallback>
    </mc:AlternateContent>
    <mc:AlternateContent xmlns:mc="http://schemas.openxmlformats.org/markup-compatibility/2006">
      <mc:Choice Requires="x14">
        <control shapeId="12321" r:id="rId10" name="CheckBox6">
          <controlPr autoLine="0" r:id="rId7">
            <anchor moveWithCells="1">
              <from>
                <xdr:col>5</xdr:col>
                <xdr:colOff>209550</xdr:colOff>
                <xdr:row>31</xdr:row>
                <xdr:rowOff>9525</xdr:rowOff>
              </from>
              <to>
                <xdr:col>5</xdr:col>
                <xdr:colOff>352425</xdr:colOff>
                <xdr:row>31</xdr:row>
                <xdr:rowOff>171450</xdr:rowOff>
              </to>
            </anchor>
          </controlPr>
        </control>
      </mc:Choice>
      <mc:Fallback>
        <control shapeId="12321" r:id="rId10" name="CheckBox6"/>
      </mc:Fallback>
    </mc:AlternateContent>
    <mc:AlternateContent xmlns:mc="http://schemas.openxmlformats.org/markup-compatibility/2006">
      <mc:Choice Requires="x14">
        <control shapeId="12320" r:id="rId11" name="CheckBox5">
          <controlPr autoLine="0" r:id="rId7">
            <anchor moveWithCells="1">
              <from>
                <xdr:col>5</xdr:col>
                <xdr:colOff>209550</xdr:colOff>
                <xdr:row>30</xdr:row>
                <xdr:rowOff>9525</xdr:rowOff>
              </from>
              <to>
                <xdr:col>5</xdr:col>
                <xdr:colOff>352425</xdr:colOff>
                <xdr:row>30</xdr:row>
                <xdr:rowOff>171450</xdr:rowOff>
              </to>
            </anchor>
          </controlPr>
        </control>
      </mc:Choice>
      <mc:Fallback>
        <control shapeId="12320" r:id="rId11" name="CheckBox5"/>
      </mc:Fallback>
    </mc:AlternateContent>
    <mc:AlternateContent xmlns:mc="http://schemas.openxmlformats.org/markup-compatibility/2006">
      <mc:Choice Requires="x14">
        <control shapeId="12319" r:id="rId12" name="CheckBox4">
          <controlPr autoLine="0" r:id="rId13">
            <anchor moveWithCells="1">
              <from>
                <xdr:col>5</xdr:col>
                <xdr:colOff>209550</xdr:colOff>
                <xdr:row>29</xdr:row>
                <xdr:rowOff>19050</xdr:rowOff>
              </from>
              <to>
                <xdr:col>5</xdr:col>
                <xdr:colOff>352425</xdr:colOff>
                <xdr:row>30</xdr:row>
                <xdr:rowOff>0</xdr:rowOff>
              </to>
            </anchor>
          </controlPr>
        </control>
      </mc:Choice>
      <mc:Fallback>
        <control shapeId="12319" r:id="rId12" name="CheckBox4"/>
      </mc:Fallback>
    </mc:AlternateContent>
    <mc:AlternateContent xmlns:mc="http://schemas.openxmlformats.org/markup-compatibility/2006">
      <mc:Choice Requires="x14">
        <control shapeId="12318" r:id="rId14" name="CheckBox3">
          <controlPr autoLine="0" r:id="rId7">
            <anchor moveWithCells="1">
              <from>
                <xdr:col>2</xdr:col>
                <xdr:colOff>342900</xdr:colOff>
                <xdr:row>31</xdr:row>
                <xdr:rowOff>9525</xdr:rowOff>
              </from>
              <to>
                <xdr:col>2</xdr:col>
                <xdr:colOff>485775</xdr:colOff>
                <xdr:row>31</xdr:row>
                <xdr:rowOff>171450</xdr:rowOff>
              </to>
            </anchor>
          </controlPr>
        </control>
      </mc:Choice>
      <mc:Fallback>
        <control shapeId="12318" r:id="rId14" name="CheckBox3"/>
      </mc:Fallback>
    </mc:AlternateContent>
    <mc:AlternateContent xmlns:mc="http://schemas.openxmlformats.org/markup-compatibility/2006">
      <mc:Choice Requires="x14">
        <control shapeId="12317" r:id="rId15" name="CheckBox2">
          <controlPr autoLine="0" r:id="rId7">
            <anchor moveWithCells="1">
              <from>
                <xdr:col>2</xdr:col>
                <xdr:colOff>342900</xdr:colOff>
                <xdr:row>30</xdr:row>
                <xdr:rowOff>9525</xdr:rowOff>
              </from>
              <to>
                <xdr:col>2</xdr:col>
                <xdr:colOff>485775</xdr:colOff>
                <xdr:row>30</xdr:row>
                <xdr:rowOff>171450</xdr:rowOff>
              </to>
            </anchor>
          </controlPr>
        </control>
      </mc:Choice>
      <mc:Fallback>
        <control shapeId="12317" r:id="rId15" name="CheckBox2"/>
      </mc:Fallback>
    </mc:AlternateContent>
    <mc:AlternateContent xmlns:mc="http://schemas.openxmlformats.org/markup-compatibility/2006">
      <mc:Choice Requires="x14">
        <control shapeId="12316" r:id="rId16" name="CheckBox1">
          <controlPr autoLine="0" r:id="rId13">
            <anchor moveWithCells="1">
              <from>
                <xdr:col>2</xdr:col>
                <xdr:colOff>342900</xdr:colOff>
                <xdr:row>29</xdr:row>
                <xdr:rowOff>19050</xdr:rowOff>
              </from>
              <to>
                <xdr:col>2</xdr:col>
                <xdr:colOff>485775</xdr:colOff>
                <xdr:row>30</xdr:row>
                <xdr:rowOff>0</xdr:rowOff>
              </to>
            </anchor>
          </controlPr>
        </control>
      </mc:Choice>
      <mc:Fallback>
        <control shapeId="12316" r:id="rId1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"/>
  <sheetViews>
    <sheetView workbookViewId="0">
      <selection activeCell="A14" sqref="A14"/>
    </sheetView>
  </sheetViews>
  <sheetFormatPr defaultRowHeight="13.5" x14ac:dyDescent="0.15"/>
  <cols>
    <col min="1" max="1" width="20.25" bestFit="1" customWidth="1"/>
  </cols>
  <sheetData>
    <row r="1" spans="1:13" x14ac:dyDescent="0.15">
      <c r="A1" t="s">
        <v>53</v>
      </c>
      <c r="B1" t="s">
        <v>3</v>
      </c>
    </row>
    <row r="2" spans="1:13" x14ac:dyDescent="0.15">
      <c r="A2" t="s">
        <v>54</v>
      </c>
    </row>
    <row r="3" spans="1:13" x14ac:dyDescent="0.15">
      <c r="B3" t="s">
        <v>4</v>
      </c>
    </row>
    <row r="6" spans="1:13" x14ac:dyDescent="0.15">
      <c r="A6">
        <v>0</v>
      </c>
    </row>
    <row r="10" spans="1:13" x14ac:dyDescent="0.15">
      <c r="A10" t="s">
        <v>7</v>
      </c>
      <c r="B10" t="s">
        <v>6</v>
      </c>
    </row>
    <row r="14" spans="1:13" x14ac:dyDescent="0.15">
      <c r="J14" s="87"/>
      <c r="K14" s="87"/>
      <c r="L14" s="87"/>
      <c r="M14" s="87"/>
    </row>
    <row r="15" spans="1:13" x14ac:dyDescent="0.15">
      <c r="J15" s="87"/>
      <c r="K15" s="87"/>
      <c r="L15" s="87"/>
      <c r="M15" s="87"/>
    </row>
    <row r="16" spans="1:13" x14ac:dyDescent="0.15">
      <c r="J16" s="87"/>
      <c r="K16" s="87"/>
      <c r="L16" s="87"/>
      <c r="M16" s="87"/>
    </row>
    <row r="17" spans="2:13" x14ac:dyDescent="0.15">
      <c r="J17" s="87"/>
      <c r="K17" s="87"/>
      <c r="L17" s="87"/>
      <c r="M17" s="87"/>
    </row>
    <row r="18" spans="2:13" x14ac:dyDescent="0.15">
      <c r="J18" s="87"/>
      <c r="K18" s="87"/>
      <c r="L18" s="87"/>
      <c r="M18" s="87"/>
    </row>
    <row r="19" spans="2:13" x14ac:dyDescent="0.15">
      <c r="J19" s="87"/>
      <c r="K19" s="87"/>
      <c r="L19" s="87"/>
      <c r="M19" s="87"/>
    </row>
    <row r="20" spans="2:13" x14ac:dyDescent="0.15">
      <c r="J20" s="87"/>
      <c r="K20" s="87"/>
      <c r="L20" s="87"/>
      <c r="M20" s="87"/>
    </row>
    <row r="21" spans="2:13" x14ac:dyDescent="0.15">
      <c r="J21" s="87"/>
      <c r="K21" s="87"/>
      <c r="L21" s="87"/>
      <c r="M21" s="87"/>
    </row>
    <row r="22" spans="2:13" x14ac:dyDescent="0.15">
      <c r="J22" s="87"/>
      <c r="K22" s="87"/>
      <c r="L22" s="87"/>
      <c r="M22" s="87"/>
    </row>
    <row r="23" spans="2:13" x14ac:dyDescent="0.15">
      <c r="J23" s="87"/>
      <c r="K23" s="87"/>
      <c r="L23" s="87"/>
      <c r="M23" s="87"/>
    </row>
    <row r="26" spans="2:13" x14ac:dyDescent="0.15">
      <c r="B26" t="s">
        <v>5</v>
      </c>
    </row>
    <row r="30" spans="2:13" x14ac:dyDescent="0.15">
      <c r="B30" t="s">
        <v>5</v>
      </c>
    </row>
  </sheetData>
  <phoneticPr fontId="1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@C50236001</vt:lpstr>
      <vt:lpstr>設定</vt:lpstr>
      <vt:lpstr>'@C50236001'!Print_Area</vt:lpstr>
    </vt:vector>
  </TitlesOfParts>
  <Company>第一製薬株式会社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大木　仁</dc:creator>
  <cp:lastModifiedBy>michio ohno</cp:lastModifiedBy>
  <cp:revision>2010</cp:revision>
  <cp:lastPrinted>2007-04-03T10:15:51Z</cp:lastPrinted>
  <dcterms:created xsi:type="dcterms:W3CDTF">2003-06-24T07:43:46Z</dcterms:created>
  <dcterms:modified xsi:type="dcterms:W3CDTF">2022-07-24T22:08:55Z</dcterms:modified>
</cp:coreProperties>
</file>